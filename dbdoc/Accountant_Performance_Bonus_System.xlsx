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habe\Downloads\"/>
    </mc:Choice>
  </mc:AlternateContent>
  <xr:revisionPtr revIDLastSave="0" documentId="13_ncr:1_{1C31F9E7-5A9F-4777-9B9B-3CF13BBF0312}" xr6:coauthVersionLast="47" xr6:coauthVersionMax="47" xr10:uidLastSave="{00000000-0000-0000-0000-000000000000}"/>
  <bookViews>
    <workbookView xWindow="14295" yWindow="0" windowWidth="14610" windowHeight="15585" xr2:uid="{00000000-000D-0000-FFFF-FFFF00000000}"/>
  </bookViews>
  <sheets>
    <sheet name="راهنما و توضیحات " sheetId="1" r:id="rId1"/>
    <sheet name="پروفایل و توافق عملکرد" sheetId="2" r:id="rId2"/>
    <sheet name="رویدادها و بازخوردها" sheetId="3" r:id="rId3"/>
    <sheet name="ارزیابی عملکرد" sheetId="4" r:id="rId4"/>
    <sheet name="ارزیابی رفتار حرفه‌ای" sheetId="5" r:id="rId5"/>
    <sheet name="موتور امتیازدهی و خلاصه" sheetId="6" r:id="rId6"/>
    <sheet name="خروجی و نتایج" sheetId="7" r:id="rId7"/>
  </sheets>
  <definedNames>
    <definedName name="_xlnm._FilterDatabase" localSheetId="2" hidden="1">'رویدادها و بازخوردها'!$A$6:$E$11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7" l="1"/>
  <c r="E4" i="7"/>
  <c r="B4" i="7"/>
  <c r="C15" i="6"/>
  <c r="C8" i="6"/>
  <c r="C11" i="5"/>
  <c r="E12" i="5" s="1"/>
  <c r="C14" i="6" s="1"/>
  <c r="D14" i="6" s="1"/>
  <c r="E10" i="5"/>
  <c r="E9" i="5"/>
  <c r="E8" i="5"/>
  <c r="E7" i="5"/>
  <c r="E6" i="5"/>
  <c r="E5" i="5"/>
  <c r="D12" i="4"/>
  <c r="F13" i="4" s="1"/>
  <c r="C13" i="6" s="1"/>
  <c r="D13" i="6" s="1"/>
  <c r="F11" i="4"/>
  <c r="F10" i="4"/>
  <c r="F9" i="4"/>
  <c r="F8" i="4"/>
  <c r="F7" i="4"/>
  <c r="F6" i="4"/>
  <c r="F5" i="4"/>
  <c r="D16" i="3" a="1"/>
  <c r="D16" i="3" s="1"/>
  <c r="D15" i="6" s="1"/>
  <c r="E14" i="6" l="1"/>
  <c r="E5" i="7"/>
  <c r="E13" i="6"/>
  <c r="B5" i="7"/>
  <c r="E15" i="6" l="1" a="1"/>
  <c r="E15" i="6" s="1"/>
  <c r="E16" i="6" s="1"/>
  <c r="C26" i="6" l="1" a="1"/>
  <c r="C26" i="6" s="1"/>
  <c r="E6" i="7" s="1"/>
  <c r="B6" i="7"/>
  <c r="B10" i="7" s="1"/>
  <c r="B11" i="7" s="1"/>
</calcChain>
</file>

<file path=xl/sharedStrings.xml><?xml version="1.0" encoding="utf-8"?>
<sst xmlns="http://schemas.openxmlformats.org/spreadsheetml/2006/main" count="267" uniqueCount="242">
  <si>
    <t>پروفایل پرسنلی و توافق‌نامه عملکرد حسابداری</t>
  </si>
  <si>
    <t>نام و نام خانوادگی شاغل:</t>
  </si>
  <si>
    <t>محمد حسینی</t>
  </si>
  <si>
    <t>کد پرسنلی / کدملی:</t>
  </si>
  <si>
    <t>10405</t>
  </si>
  <si>
    <t>عنوان شغلی:</t>
  </si>
  <si>
    <t>حسابدار ارشد</t>
  </si>
  <si>
    <t>واحد سازمانی:</t>
  </si>
  <si>
    <t>امور مالی</t>
  </si>
  <si>
    <t>نام و سمت ارزیاب:</t>
  </si>
  <si>
    <t>علیرضا رضایی (مدیر مالی)</t>
  </si>
  <si>
    <t>دوره ارزیابی:</t>
  </si>
  <si>
    <t>فصل اول 1405 (یا فروردین 1405)</t>
  </si>
  <si>
    <t>نام راهنما (منتور):</t>
  </si>
  <si>
    <t>مبلغ ناخالص پاداش هدف (تومان):</t>
  </si>
  <si>
    <t>متن توافق‌نامه عملکرد</t>
  </si>
  <si>
    <t>شاغل و ارزیاب توافق می‌نمایند که شاخص‌های انتخاب‌شده، وزن هر شاخص و انتظارات عملکردی این دوره به صورت شفاف بررسی و مورد توافق قرار گرفته است. تغییرات در طول دوره تنها با توافق مکتوب طرفین معتبر است.</t>
  </si>
  <si>
    <t>امضای شاغل:</t>
  </si>
  <si>
    <t>امضای ارزیاب:</t>
  </si>
  <si>
    <t>تاریخ:</t>
  </si>
  <si>
    <t>راهنمای جامع سیستم ارزیابی عملکرد و پاداش حسابداری (با مکانیزم Red Flag)</t>
  </si>
  <si>
    <t>۱. معرفی سیستم</t>
  </si>
  <si>
    <t>این ابزار برای استفاده سریع مدیران طراحی شده تا کل فرآیند ارزیابی در زمانی کوتاه قابل انجام باشد. سیستم، عملکرد را از ۳ جنبه نتایج (Results)، تلاش (Execution) و رفتار حرفه‌ای (Behavior) بررسی می‌کند.</t>
  </si>
  <si>
    <t>۲. فلسفه ارزیابی</t>
  </si>
  <si>
    <t>این ابزار عملکرد را از ۳ جنبه مکمل بررسی می‌کند:</t>
  </si>
  <si>
    <t xml:space="preserve">   • نتایج (Results)</t>
  </si>
  <si>
    <t xml:space="preserve">   • تلاش و اجرا (Execution)</t>
  </si>
  <si>
    <t>نظم، پیگیری و کیفیت فرآیند اجرای امور روزمره</t>
  </si>
  <si>
    <t xml:space="preserve">   • رفتار حرفه‌ای (Behavior)</t>
  </si>
  <si>
    <t>پایبندی به ارزش‌ها، مسئولیت‌پذیری و حفظ محرمانگی مالی</t>
  </si>
  <si>
    <t>۳. مقیاس امتیازدهی</t>
  </si>
  <si>
    <t>۱ = بسیار ضعیف | ۲ = ضعیف | ۳ = قابل قبول | ۴ = خوب | ۵ = عالی</t>
  </si>
  <si>
    <t>۴. توصیه‌های طراحی ارزیابی</t>
  </si>
  <si>
    <t>برای افزایش دقت، پیشنهاد می‌شود حداکثر ۸ شاخص عملکرد (شیت ۳) و ۵ شاخص رفتاری (شیت ۴) انتخاب و وزن‌دهی شوند. تمرکز بر شاخص‌های کمتر و کلیدی‌تر، اثربخشی ارزیابی را بالا می‌برد.</t>
  </si>
  <si>
    <t>5. معرفی مکانیزم استثنایی رویدادهای بحرانی (Red Flag)</t>
  </si>
  <si>
    <t>مکانیزم Red Flag یک سیستم کنترلی و هوشمند برای رویدادهای بحرانی است. هدف این بخش مستقل از شاخص‌های عادی، اصلاح شدیدترین خطاهای رفتاری، فرآیندی یا مالی است تا از بی‌اثر شدن خطاهای بزرگ در میان امتیازهای مثبت جلوگیری کند.</t>
  </si>
  <si>
    <t>6. منطق و اثرگذاری درجات Red Flag</t>
  </si>
  <si>
    <t>7. قانون حاکم بر ثبت رویدادهای بحرانی</t>
  </si>
  <si>
    <t>8. نکات اختصاصی حسابداری</t>
  </si>
  <si>
    <t>گام ۱: تکمیل اطلاعات در شیت پروفایل
گام ۲: امتیازدهی شاخص‌های عملکرد و رفتار در شیت‌های ۳ و ۴
گام ۳: ثبت هرگونه شواهد یا رویداد بحرانی در شیت رویدادها و بازخوردها
گام ۴: مشاهده خودکار خروجی، سقف امتیاز و مبلغ پاداش در شیت موتور امتیازدهی و داشبورد نهایی.</t>
  </si>
  <si>
    <t>رویدادها و بازخوردها  (Performance Journal)</t>
  </si>
  <si>
    <t>ثبت رویدادها و بازخوردهای دوره</t>
  </si>
  <si>
    <t>در طول دوره، رویدادهای مثبت، منفی یا قابل توجه مرتبط با عملکرد شاغل در این بخش ثبت می‌شوند تا ارزیابی نهایی بر مبنای شواهد واقعی انجام شود.</t>
  </si>
  <si>
    <t>تاریخ</t>
  </si>
  <si>
    <t>نوع رویداد</t>
  </si>
  <si>
    <t>شرح رویداد</t>
  </si>
  <si>
    <t>ثبت کننده</t>
  </si>
  <si>
    <t>بازخورد / اقدام</t>
  </si>
  <si>
    <t>1405/01/15</t>
  </si>
  <si>
    <t>مثبت</t>
  </si>
  <si>
    <t>ثبت و بستن به موقع حساب‌های ماهانه و ارائه گزارش سود و زیان بدون مغایرت</t>
  </si>
  <si>
    <t>مدیر مالی</t>
  </si>
  <si>
    <t>تقدیر شفاهی در جلسه واحد</t>
  </si>
  <si>
    <t>1405/02/05</t>
  </si>
  <si>
    <t>منفی</t>
  </si>
  <si>
    <t>تاخیر در ثبت اسناد تنخواه و هزینه‌های جاری به مدت یک هفته</t>
  </si>
  <si>
    <t>تذکر حمایتی برای مدیریت زمان</t>
  </si>
  <si>
    <t>1405/02/20</t>
  </si>
  <si>
    <t>همکاری موثر با واحد حسابداری جهت رفع مغایرت‌های سنواتی</t>
  </si>
  <si>
    <t>سرپرست حسابداری</t>
  </si>
  <si>
    <t>ثبت در سوابق درخشان</t>
  </si>
  <si>
    <t>1405/03/02</t>
  </si>
  <si>
    <t>قابل توجه</t>
  </si>
  <si>
    <t>اشتباه در کدینگ یکی از حساب‌های فرعی که منجر به اصلاحیه سند شد</t>
  </si>
  <si>
    <t>بازبینی فرآیند و آموزش مجدد</t>
  </si>
  <si>
    <t>1405/03/12</t>
  </si>
  <si>
    <t>پیشنهاد بهبود</t>
  </si>
  <si>
    <t>ارائه پیشنهاد برای بهبود فرآیند جمع‌آوری اسناد مثبت بارگذاری شده در نرم‌افزار</t>
  </si>
  <si>
    <t>حسابدار</t>
  </si>
  <si>
    <t>در حال بررسی توسط واحد IT</t>
  </si>
  <si>
    <t>رویداد بحرانی (Red Flag)</t>
  </si>
  <si>
    <t>توضیح: خطاهای اساسی که به طور مستقیم کل سیستم ارزیابی و پاداش را تحت تاثیر قرار می‌دهند.</t>
  </si>
  <si>
    <t>شدت</t>
  </si>
  <si>
    <t>اثر روی ارزیابی</t>
  </si>
  <si>
    <t>توضیحات ارزیاب</t>
  </si>
  <si>
    <t>1405/02/25</t>
  </si>
  <si>
    <t>بروز مغایرت فاحش در تراز آزمایشی به دلیل عدم کنترل به موقع اسناد دریافتنی</t>
  </si>
  <si>
    <t>بررسی دقیق انجام شد</t>
  </si>
  <si>
    <t>پیشنهادهای توسعه و بهبود (توسط ارزیاب)</t>
  </si>
  <si>
    <t>در این بخش ارزیاب می‌تواند پیشنهادهایی برای توسعه فرد، بهبود عملکرد، افزایش انگیزه یا بهبود شرایط کاری ثبت نماید.</t>
  </si>
  <si>
    <t>اولویت</t>
  </si>
  <si>
    <t>مسئول پیگیری</t>
  </si>
  <si>
    <t>پیشنهاد توسعه‌ای</t>
  </si>
  <si>
    <t>وضعیت</t>
  </si>
  <si>
    <t>متوسط</t>
  </si>
  <si>
    <t>منابع انسانی</t>
  </si>
  <si>
    <t>شرکت در دوره آموزشی استانداردهای حسابداری جدید و قوانین مالیاتی</t>
  </si>
  <si>
    <t>در حال بررسی</t>
  </si>
  <si>
    <t>زیاد</t>
  </si>
  <si>
    <t>پشتیبانی / IT</t>
  </si>
  <si>
    <t>تخصیص نرم‌افزار کمکی اکسل پیشرفته یا ابزارهای گزارش‌گیری سریع</t>
  </si>
  <si>
    <t>تایید شده</t>
  </si>
  <si>
    <t>کم</t>
  </si>
  <si>
    <t>اصلاح فرآیند تحویل اسناد از واحدهای عملیاتی به حسابداری جهت کاهش ضایعات زمانی</t>
  </si>
  <si>
    <t>ثبت شده</t>
  </si>
  <si>
    <t>💡 بانک ایده‌های توسعه‌ای حسابداری (مرجع ایده)</t>
  </si>
  <si>
    <t>• شرکت در دوره‌های تخصصی مالیاتی و استانداردهای حسابداری</t>
  </si>
  <si>
    <t>• ارتقای ابزارهای گزارش‌گیری و اکسل پیشرفته مالی</t>
  </si>
  <si>
    <t>• آموزش قوانین کار، بیمه و سامانه‌های دولتی (سامانه مودیان)</t>
  </si>
  <si>
    <t>• منتورینگ تخصصی توسط مدیر مالی / سرپرست حسابداری</t>
  </si>
  <si>
    <t>• تفکیک بهینه وظایف جهت تمرکز بر گزارش‌های کیفی</t>
  </si>
  <si>
    <t>• بهبود سیستم مکانیزه بایگانی اسناد (اتوماسیون مالی)</t>
  </si>
  <si>
    <t>• تشویق رسمی در جلسه عمومی واحد مالی</t>
  </si>
  <si>
    <t>• اعطای کارت هدیه یا مرخصی تشویقی در پایان فصل مالی</t>
  </si>
  <si>
    <t>• اختصاص نیروی کمکی در روزهای بستن حساب‌های سالانه</t>
  </si>
  <si>
    <t>• بازطراحی فرآیند دریافت اسناد از سایر واحدها</t>
  </si>
  <si>
    <t>• تدوین دستورالعمل‌های شفاف برای تنخواه‌گردان‌ها</t>
  </si>
  <si>
    <t>• مشارکت در جلسات تحلیل بودجه و بهای تمام شده</t>
  </si>
  <si>
    <t>درخواست‌ها و پیشنهادهای شاغل</t>
  </si>
  <si>
    <t>شاغل می‌تواند درخواست‌ها، نیازها، پیشنهادها یا موانع موثر بر عملکرد خود را در این بخش ثبت نماید.</t>
  </si>
  <si>
    <t>درخواست یا پیشنهاد شاغل</t>
  </si>
  <si>
    <t>توضیحات تکمیلی شاغل</t>
  </si>
  <si>
    <t>نظر مدیر / ارزیاب</t>
  </si>
  <si>
    <t>1405/01/20</t>
  </si>
  <si>
    <t>درخواست آموزش نرم‌افزار اکسل پیشرفته</t>
  </si>
  <si>
    <t>برای افزایش سرعت تنظیم مغایرت‌ها و ترازهای مالی</t>
  </si>
  <si>
    <t>موافقت شد، در برنامه فصلی قرار گیرد.</t>
  </si>
  <si>
    <t>1405/02/18</t>
  </si>
  <si>
    <t>درخواست ارسال سریع‌تر صورت‌جلسات فروش و انبار</t>
  </si>
  <si>
    <t>به دلیل حجم بالای ثبت‌ها در هفته اول ماه و جلوگیری از تاخیر در گزارش‌دهی</t>
  </si>
  <si>
    <t>بررسی حجم کاری در دستور کار است.</t>
  </si>
  <si>
    <t>جدول ارزیابی شاخص‌های عملکردی (نتایج و تلاش)</t>
  </si>
  <si>
    <t>ردیف</t>
  </si>
  <si>
    <t>شاخص عملکرد</t>
  </si>
  <si>
    <t>نوع شاخص</t>
  </si>
  <si>
    <t>وزن (%)</t>
  </si>
  <si>
    <t>امتیاز (۱-۵)</t>
  </si>
  <si>
    <t>امتیاز وزنی</t>
  </si>
  <si>
    <t>صحت و دقت در ثبت اسناد حسابداری و مالی</t>
  </si>
  <si>
    <t>نتیجه</t>
  </si>
  <si>
    <t>به‌موقع بودن ثبت اسناد و بستن حساب‌های ماهانه</t>
  </si>
  <si>
    <t>تهیه و ارائه دقیق گزارش‌های مالی فصلی/ماهانه</t>
  </si>
  <si>
    <t>کاهش مغایرت‌های مالی و ثبت‌های اصلاحی</t>
  </si>
  <si>
    <t>نظم در مستندسازی، زونکن‌بندی و بایگانی اسناد</t>
  </si>
  <si>
    <t>تلاش</t>
  </si>
  <si>
    <t>پیگیری سریع مغایرت‌ها و مطالبات/بدهی‌ها</t>
  </si>
  <si>
    <t>همکاری موثر با سایر واحدها جهت اخذ اسناد مثبته</t>
  </si>
  <si>
    <t>مجموع وزن‌ها</t>
  </si>
  <si>
    <t>میانگین وزنی عملکرد (از ۵)</t>
  </si>
  <si>
    <t>بانک شاخص‌های پیشنهادی حسابداری</t>
  </si>
  <si>
    <t>شاخص‌های نتیجه (قابل کپی به جدول بالا)</t>
  </si>
  <si>
    <t>شاخص‌های تلاش (قابل کپی به جدول بالا)</t>
  </si>
  <si>
    <t>صحت ثبت اسناد حسابداری</t>
  </si>
  <si>
    <t>پیگیری مستمر امور مالی</t>
  </si>
  <si>
    <t>به موقع بودن ثبت اسناد</t>
  </si>
  <si>
    <t>نظم در مستندسازی و بایگانی</t>
  </si>
  <si>
    <t>بستن حساب‌های ماهانه</t>
  </si>
  <si>
    <t>رعایت فرآیندهای مالی داخلی</t>
  </si>
  <si>
    <t>کیفیت گزارش‌های مالی</t>
  </si>
  <si>
    <t>همکاری بین واحدی جهت جمع‌آوری اسناد</t>
  </si>
  <si>
    <t>کاهش مغایرت‌های تراز</t>
  </si>
  <si>
    <t>پاسخگویی به حسابرسان</t>
  </si>
  <si>
    <t>دقت محاسبات حقوق و دستمزد</t>
  </si>
  <si>
    <t>دقت در کنترل مدارک تنخواه</t>
  </si>
  <si>
    <t>رعایت استانداردهای حسابداری</t>
  </si>
  <si>
    <t>پیگیری سریع مغایرت‌های بانکی</t>
  </si>
  <si>
    <t>کنترل اسناد و فاکتورها</t>
  </si>
  <si>
    <t>مدیریت زمان در تحویل گزارش‌ها</t>
  </si>
  <si>
    <t>مدیریت حساب‌های پرداختنی</t>
  </si>
  <si>
    <t>آمادگی در پایان ماه مالی</t>
  </si>
  <si>
    <t>مدیریت حساب‌های دریافتنی</t>
  </si>
  <si>
    <t>بروزرسانی روزانه دفاتر قانونی</t>
  </si>
  <si>
    <t>پیگیری به موقع مطالبات</t>
  </si>
  <si>
    <t>سرعت عمل در ثبت هزینه‌ها</t>
  </si>
  <si>
    <t>تهیه گزارش‌های مدیریتی</t>
  </si>
  <si>
    <t>کنترل سقف تنخواه‌گردان‌ها</t>
  </si>
  <si>
    <t>تطابق دفاتر با سامانه مودیان</t>
  </si>
  <si>
    <t>جدول ارزیابی شاخص‌های رفتاری حسابدار</t>
  </si>
  <si>
    <t>شاخص رفتاری</t>
  </si>
  <si>
    <t>مسئولیت‌پذیری مالی و تعهد شغلی</t>
  </si>
  <si>
    <t>رعایت کامل محرمانگی اطلاعات و اسناد مالی</t>
  </si>
  <si>
    <t>امانت‌داری، صداقت و اخلاق حرفه‌ای</t>
  </si>
  <si>
    <t>دقت، تمرکز و کنترل استرس در شرایط فشار کاری</t>
  </si>
  <si>
    <t>میانگین وزنی رفتار (از ۵)</t>
  </si>
  <si>
    <t>سیستم وزن‌دهی کلان و موتور محاسبات نهایی</t>
  </si>
  <si>
    <t xml:space="preserve"> تنظیم وزن‌های اصلی سیستم (درصد)</t>
  </si>
  <si>
    <t>بخش ارزیابی</t>
  </si>
  <si>
    <t>وزن اختصاصی</t>
  </si>
  <si>
    <t>وزن عملکرد (نتایج و تلاش)</t>
  </si>
  <si>
    <t>وزن رفتار حرفه‌ای</t>
  </si>
  <si>
    <t>مجموع وزن‌های کلان</t>
  </si>
  <si>
    <t>خلاصه امتیازات محاسباتی</t>
  </si>
  <si>
    <t>بخش</t>
  </si>
  <si>
    <t>میانگین وزنی اولیه (۱-۵)</t>
  </si>
  <si>
    <t>تبدیل به درصد (٪)</t>
  </si>
  <si>
    <t>سهم در امتیاز نهایی</t>
  </si>
  <si>
    <t>عملکرد (شیت ۳)</t>
  </si>
  <si>
    <t>رفتار حرفه‌ای (شیت ۴)</t>
  </si>
  <si>
    <t>امتیاز نهایی کل (درصد)</t>
  </si>
  <si>
    <t>جدول راهنمای تفسیر امتیازات</t>
  </si>
  <si>
    <t>از</t>
  </si>
  <si>
    <t>تا</t>
  </si>
  <si>
    <t>تفسیر عملکرد</t>
  </si>
  <si>
    <t>پاداش پیشنهادی</t>
  </si>
  <si>
    <t>نیازمند اقدام فوری (Critical)</t>
  </si>
  <si>
    <t>نیازمند بهبود (Improve)</t>
  </si>
  <si>
    <t>قابل قبول (Acceptable)</t>
  </si>
  <si>
    <t>خوب (Good)</t>
  </si>
  <si>
    <t>عالی (Excellent)</t>
  </si>
  <si>
    <t>سطح عملکرد نهایی:</t>
  </si>
  <si>
    <t>داشبورد نهایی و فرم محاسبه پاداش حسابدار</t>
  </si>
  <si>
    <t>نام شاغل:</t>
  </si>
  <si>
    <t>امتیاز عملکرد (٪):</t>
  </si>
  <si>
    <t>امتیاز رفتار (٪):</t>
  </si>
  <si>
    <t>امتیاز کل نهایی:</t>
  </si>
  <si>
    <t>محاسبه مالی پاداش پایان دوره</t>
  </si>
  <si>
    <t>مبلغ پاداش هدف (Target Bonus):</t>
  </si>
  <si>
    <t>ضریب پاداش عملکرد:</t>
  </si>
  <si>
    <t>پاداش قابل پرداخت نهایی:</t>
  </si>
  <si>
    <t>جمع‌بندی و دیدگاه ارزیاب</t>
  </si>
  <si>
    <t>نقاط قوت شاغل:</t>
  </si>
  <si>
    <t>دقت بالا در ثبت سندها، بستن به موقع ترازها و همکاری عالی در فرآیند حسابرسی.</t>
  </si>
  <si>
    <t>زمینه‌های بهبود:</t>
  </si>
  <si>
    <t>تقویت سرعت عمل در یادگیری استانداردهای جدید مالیاتی و سامانه مودیان.</t>
  </si>
  <si>
    <t>تصمیم نهایی مدیر:</t>
  </si>
  <si>
    <t>پرداخت کامل پاداش به همراه تمدید قرارداد دوره آتی.</t>
  </si>
  <si>
    <t>تحقق اهداف کمی و کیفی ملموس حسابداری (مانند صحت مغایرت‌ها و دقت ثبت‌ها)</t>
  </si>
  <si>
    <t>• شدت متوسط: کاهش در امتیاز نهایی کل سیستم ( ۵- درصد)
• شدت زیاد: کاهش در امتیاز نهایی کل سیستم (۱۰- درصد)
• شدت بحرانی: ضریب پاداش دوره‌ای فرد دقیقاً برابر صفر (۰٪) خواهد شد.</t>
  </si>
  <si>
    <t>در هر دوره ارزیابی تنها شدیدترین مورد ثبت شود.</t>
  </si>
  <si>
    <t>نظم، انضباط و حضور به‌موقع</t>
  </si>
  <si>
    <t>پاسخگویی و همکاری با سایر واحدها</t>
  </si>
  <si>
    <t>• حقوق مالکیت قالب و ساختار سند متعلق به DBDoc است.</t>
  </si>
  <si>
    <t>• انتشار عمومی یا اشتراک‌گذاری خارج از سازمان خریدار مجاز نیست.</t>
  </si>
  <si>
    <t>• فروش مجدد سند مجاز نیست.</t>
  </si>
  <si>
    <t>• ویرایش و شخصی‌سازی سند برای نیازهای داخلی سازمان مجاز است.</t>
  </si>
  <si>
    <t>• استفاده از این سند در داخل سازمان خریدار مجاز است.</t>
  </si>
  <si>
    <t>حقوق استفاده (License &amp; Usage Rights)</t>
  </si>
  <si>
    <t>Internal Organizational Use</t>
  </si>
  <si>
    <t>سطح استفاده</t>
  </si>
  <si>
    <t>DBDoc</t>
  </si>
  <si>
    <t>ناشر</t>
  </si>
  <si>
    <t>تاریخ انتشار</t>
  </si>
  <si>
    <t>1.0</t>
  </si>
  <si>
    <t>نسخه</t>
  </si>
  <si>
    <t>DBDOC-HR-ACC-001</t>
  </si>
  <si>
    <t>کد سند</t>
  </si>
  <si>
    <t>سیستم ارزیابی عملکرد و پاداش حسابداری</t>
  </si>
  <si>
    <t>نام سند</t>
  </si>
  <si>
    <t>اطلاعات سند (Document Information)</t>
  </si>
  <si>
    <t>بهار 1405</t>
  </si>
  <si>
    <t>• پاداش پایان سال یا بستن حساب‌های سالانه، ساختاری مجزا دارد و باید در تعیین پاداش هدف لحاظ گردد.
• دقت در ثبت اسناد مالی، کنترل حساب‌ها و صحت اطلاعات مالی از مهم‌ترین معیارهای ارزیابی این سمت است.
• تأخیرهای غیرموجه در ثبت اسناد، تهیه گزارش‌های مالی یا انجام مغایرت‌گیری‌ها باید در ارزیابی عملکرد منعکس شود.
• کیفیت مستندسازی، بایگانی و قابلیت ردیابی اسناد مالی بخشی مهم از عملکرد حرفه‌ای حسابدار محسوب می‌شود.
• ارزیابی حسابدار نباید صرفاً بر مبنای نبود خطا انجام شود؛ بهبود فرآیندها، همکاری بین واحدی و مشارکت در ارتقای کنترل‌های مالی نیز اهمیت دارد.
• محرمانگی اطلاعات مالی و رعایت الزامات کنترلی و قانونی از مهم‌ترین مسئولیت‌های این جایگاه شغلی است.</t>
  </si>
  <si>
    <t>9. گام‌های کاربری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</si>
</sst>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font>
      <sz val="11"/>
      <color theme="1"/>
      <name val="Calibri"/>
      <family val="2"/>
      <scheme val="minor"/>
    </font>
    <font>
      <b/>
      <sz val="16"/>
      <color rgb="FFFFFFFF"/>
      <name val="Tahoma"/>
      <family val="2"/>
    </font>
    <font>
      <b/>
      <sz val="12"/>
      <color rgb="FF2A4B7C"/>
      <name val="Tahoma"/>
      <family val="2"/>
    </font>
    <font>
      <sz val="10"/>
      <color rgb="FF000000"/>
      <name val="Tahoma"/>
      <family val="2"/>
    </font>
    <font>
      <b/>
      <sz val="10"/>
      <color rgb="FF000000"/>
      <name val="Tahoma"/>
      <family val="2"/>
    </font>
    <font>
      <b/>
      <sz val="10"/>
      <color rgb="FFFFFFFF"/>
      <name val="Tahoma"/>
      <family val="2"/>
    </font>
    <font>
      <i/>
      <sz val="9"/>
      <color rgb="FF595959"/>
      <name val="Tahoma"/>
      <family val="2"/>
    </font>
    <font>
      <sz val="11"/>
      <color theme="1"/>
      <name val="Calibri"/>
      <family val="2"/>
      <scheme val="minor"/>
    </font>
    <font>
      <sz val="10"/>
      <color rgb="FF000000"/>
      <name val="Tahoma"/>
    </font>
    <font>
      <b/>
      <sz val="12"/>
      <color rgb="FF2A4B7C"/>
      <name val="Tahoma"/>
    </font>
    <font>
      <b/>
      <sz val="16"/>
      <color rgb="FFFFFFFF"/>
      <name val="Tahoma"/>
    </font>
    <font>
      <i/>
      <sz val="9"/>
      <color rgb="FF595959"/>
      <name val="Tahoma"/>
    </font>
    <font>
      <b/>
      <sz val="10"/>
      <color rgb="FFFFFFFF"/>
      <name val="Tahoma"/>
    </font>
    <font>
      <b/>
      <sz val="10"/>
      <color rgb="FF991B1B"/>
      <name val="Tahoma"/>
    </font>
    <font>
      <sz val="10"/>
      <color theme="5" tint="-0.499984740745262"/>
      <name val="Tahoma"/>
      <family val="2"/>
    </font>
    <font>
      <b/>
      <sz val="10"/>
      <color theme="5" tint="-0.499984740745262"/>
      <name val="Tahoma"/>
      <family val="2"/>
    </font>
    <font>
      <b/>
      <sz val="11"/>
      <color rgb="FF000000"/>
      <name val="Tahoma"/>
      <family val="2"/>
    </font>
    <font>
      <sz val="11"/>
      <color rgb="FF000000"/>
      <name val="Tahoma"/>
      <family val="2"/>
    </font>
    <font>
      <sz val="11"/>
      <color rgb="FF000000"/>
      <name val="B Nazanin"/>
    </font>
    <font>
      <b/>
      <sz val="13"/>
      <color rgb="FFFFFFFF"/>
      <name val="Tahoma"/>
      <family val="2"/>
    </font>
    <font>
      <sz val="11"/>
      <color theme="1"/>
      <name val="Tahoma"/>
      <family val="2"/>
    </font>
  </fonts>
  <fills count="10">
    <fill>
      <patternFill patternType="none"/>
    </fill>
    <fill>
      <patternFill patternType="gray125"/>
    </fill>
    <fill>
      <patternFill patternType="solid">
        <fgColor rgb="FF2A4B7C"/>
        <bgColor rgb="FF2A4B7C"/>
      </patternFill>
    </fill>
    <fill>
      <patternFill patternType="solid">
        <fgColor rgb="FFF0F4F8"/>
        <bgColor rgb="FFF0F4F8"/>
      </patternFill>
    </fill>
    <fill>
      <patternFill patternType="solid">
        <fgColor rgb="FFF8FAFC"/>
        <bgColor rgb="FFF8FAFC"/>
      </patternFill>
    </fill>
    <fill>
      <patternFill patternType="solid">
        <fgColor theme="4" tint="-0.249977111117893"/>
        <bgColor rgb="FFD1FAE5"/>
      </patternFill>
    </fill>
    <fill>
      <patternFill patternType="solid">
        <fgColor rgb="FFFEE2E2"/>
        <bgColor rgb="FFFEE2E2"/>
      </patternFill>
    </fill>
    <fill>
      <patternFill patternType="solid">
        <fgColor rgb="FFF7F9FC"/>
        <bgColor rgb="FFF7F9FC"/>
      </patternFill>
    </fill>
    <fill>
      <patternFill patternType="solid">
        <fgColor rgb="FF1F4E78"/>
        <bgColor rgb="FF1F4E78"/>
      </patternFill>
    </fill>
    <fill>
      <patternFill patternType="solid">
        <fgColor rgb="FFD9E1F2"/>
        <bgColor rgb="FFD9E1F2"/>
      </patternFill>
    </fill>
  </fills>
  <borders count="17">
    <border>
      <left/>
      <right/>
      <top/>
      <bottom/>
      <diagonal/>
    </border>
    <border>
      <left style="thin">
        <color rgb="FFD1D5DB"/>
      </left>
      <right style="thin">
        <color rgb="FFD1D5DB"/>
      </right>
      <top style="thin">
        <color rgb="FFD1D5DB"/>
      </top>
      <bottom style="thin">
        <color rgb="FFD1D5DB"/>
      </bottom>
      <diagonal/>
    </border>
    <border>
      <left/>
      <right style="thin">
        <color rgb="FFD1D5DB"/>
      </right>
      <top style="thin">
        <color rgb="FFD1D5DB"/>
      </top>
      <bottom style="thin">
        <color rgb="FFD1D5DB"/>
      </bottom>
      <diagonal/>
    </border>
    <border>
      <left/>
      <right/>
      <top style="thin">
        <color rgb="FF000000"/>
      </top>
      <bottom style="double">
        <color rgb="FF000000"/>
      </bottom>
      <diagonal/>
    </border>
    <border>
      <left/>
      <right/>
      <top/>
      <bottom style="thin">
        <color rgb="FFD1D5DB"/>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
      <left style="thin">
        <color rgb="FFD1D5DB"/>
      </left>
      <right/>
      <top/>
      <bottom/>
      <diagonal/>
    </border>
    <border>
      <left/>
      <right/>
      <top style="thin">
        <color rgb="FFD1D5DB"/>
      </top>
      <bottom/>
      <diagonal/>
    </border>
    <border>
      <left/>
      <right style="thin">
        <color rgb="FFD1D5DB"/>
      </right>
      <top style="thin">
        <color rgb="FFD1D5DB"/>
      </top>
      <bottom/>
      <diagonal/>
    </border>
    <border>
      <left/>
      <right style="thin">
        <color rgb="FFD1D5DB"/>
      </right>
      <top/>
      <bottom/>
      <diagonal/>
    </border>
    <border>
      <left style="thin">
        <color rgb="FFD1D5DB"/>
      </left>
      <right/>
      <top/>
      <bottom style="thin">
        <color rgb="FFD1D5DB"/>
      </bottom>
      <diagonal/>
    </border>
    <border>
      <left/>
      <right style="thin">
        <color rgb="FFD1D5DB"/>
      </right>
      <top/>
      <bottom style="thin">
        <color rgb="FFD1D5DB"/>
      </bottom>
      <diagonal/>
    </border>
    <border>
      <left/>
      <right/>
      <top style="thin">
        <color rgb="FFD1D5DB"/>
      </top>
      <bottom style="thin">
        <color rgb="FFD1D5DB"/>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9" fontId="7" fillId="0" borderId="0"/>
  </cellStyleXfs>
  <cellXfs count="117">
    <xf numFmtId="0" fontId="0" fillId="0" borderId="0" xfId="0"/>
    <xf numFmtId="0" fontId="2" fillId="0" borderId="0" xfId="0" applyFont="1"/>
    <xf numFmtId="0" fontId="4" fillId="0" borderId="0" xfId="0" applyFont="1"/>
    <xf numFmtId="0" fontId="3" fillId="0" borderId="1" xfId="0" applyFont="1" applyBorder="1" applyAlignment="1">
      <alignment horizontal="right" vertical="center" wrapText="1"/>
    </xf>
    <xf numFmtId="0" fontId="5"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9" fontId="3" fillId="0" borderId="1" xfId="0" applyNumberFormat="1" applyFont="1" applyBorder="1"/>
    <xf numFmtId="2" fontId="3" fillId="0" borderId="1" xfId="0" applyNumberFormat="1" applyFont="1" applyBorder="1"/>
    <xf numFmtId="0" fontId="3" fillId="4" borderId="1" xfId="0" applyFont="1" applyFill="1" applyBorder="1" applyAlignment="1">
      <alignment horizontal="center" vertical="center" wrapText="1"/>
    </xf>
    <xf numFmtId="0" fontId="3" fillId="4" borderId="1" xfId="0" applyFont="1" applyFill="1" applyBorder="1" applyAlignment="1">
      <alignment horizontal="right" vertical="center" wrapText="1"/>
    </xf>
    <xf numFmtId="9" fontId="3" fillId="4" borderId="1" xfId="0" applyNumberFormat="1" applyFont="1" applyFill="1" applyBorder="1"/>
    <xf numFmtId="2" fontId="3" fillId="4" borderId="1" xfId="0" applyNumberFormat="1" applyFont="1" applyFill="1" applyBorder="1"/>
    <xf numFmtId="0" fontId="0" fillId="0" borderId="3" xfId="0" applyBorder="1"/>
    <xf numFmtId="0" fontId="4" fillId="0" borderId="3" xfId="0" applyFont="1" applyBorder="1"/>
    <xf numFmtId="9" fontId="4" fillId="0" borderId="3" xfId="0" applyNumberFormat="1" applyFont="1" applyBorder="1"/>
    <xf numFmtId="2" fontId="4" fillId="3" borderId="3" xfId="0" applyNumberFormat="1" applyFont="1" applyFill="1" applyBorder="1"/>
    <xf numFmtId="0" fontId="3" fillId="0" borderId="1" xfId="0" applyFont="1" applyBorder="1"/>
    <xf numFmtId="164" fontId="3" fillId="0" borderId="1" xfId="0" applyNumberFormat="1" applyFont="1" applyBorder="1"/>
    <xf numFmtId="164" fontId="4" fillId="0" borderId="1" xfId="0" applyNumberFormat="1" applyFont="1" applyBorder="1"/>
    <xf numFmtId="3" fontId="3" fillId="0" borderId="0" xfId="0" applyNumberFormat="1" applyFont="1"/>
    <xf numFmtId="9" fontId="4" fillId="0" borderId="0" xfId="0" applyNumberFormat="1" applyFont="1"/>
    <xf numFmtId="0" fontId="0" fillId="0" borderId="0" xfId="0" applyAlignment="1">
      <alignment readingOrder="2"/>
    </xf>
    <xf numFmtId="0" fontId="3" fillId="0" borderId="0" xfId="0" applyFont="1" applyAlignment="1">
      <alignment horizontal="right" vertical="center" wrapText="1" readingOrder="2"/>
    </xf>
    <xf numFmtId="0" fontId="0" fillId="0" borderId="0" xfId="0" applyAlignment="1">
      <alignment horizontal="right" readingOrder="2"/>
    </xf>
    <xf numFmtId="0" fontId="2" fillId="0" borderId="0" xfId="0" applyFont="1" applyAlignment="1">
      <alignment horizontal="right" vertical="center" readingOrder="2"/>
    </xf>
    <xf numFmtId="0" fontId="0" fillId="0" borderId="0" xfId="0" applyAlignment="1">
      <alignment horizontal="right" vertical="center" readingOrder="2"/>
    </xf>
    <xf numFmtId="0" fontId="0" fillId="0" borderId="0" xfId="0" applyAlignment="1">
      <alignment vertical="center"/>
    </xf>
    <xf numFmtId="0" fontId="4" fillId="0" borderId="0" xfId="0" applyFont="1" applyAlignment="1">
      <alignment horizontal="right" vertical="center" readingOrder="2"/>
    </xf>
    <xf numFmtId="3" fontId="1" fillId="5" borderId="1" xfId="0" applyNumberFormat="1" applyFont="1" applyFill="1" applyBorder="1"/>
    <xf numFmtId="0" fontId="3" fillId="4" borderId="1" xfId="0" applyFont="1" applyFill="1" applyBorder="1" applyAlignment="1">
      <alignment horizontal="center" vertical="center" wrapText="1" readingOrder="2"/>
    </xf>
    <xf numFmtId="0" fontId="3" fillId="4" borderId="1" xfId="0" applyFont="1" applyFill="1" applyBorder="1" applyAlignment="1">
      <alignment horizontal="right" vertical="center" wrapText="1" readingOrder="2"/>
    </xf>
    <xf numFmtId="0" fontId="3" fillId="0" borderId="1" xfId="0" applyFont="1" applyBorder="1" applyAlignment="1">
      <alignment horizontal="center" vertical="center" wrapText="1" readingOrder="2"/>
    </xf>
    <xf numFmtId="0" fontId="3" fillId="0" borderId="1" xfId="0" applyFont="1" applyBorder="1" applyAlignment="1">
      <alignment horizontal="right" vertical="center" wrapText="1" readingOrder="2"/>
    </xf>
    <xf numFmtId="0" fontId="5" fillId="2" borderId="1" xfId="0" applyFont="1" applyFill="1" applyBorder="1" applyAlignment="1">
      <alignment horizontal="center" vertical="center" wrapText="1" readingOrder="2"/>
    </xf>
    <xf numFmtId="0" fontId="8" fillId="0" borderId="0" xfId="0" applyFont="1" applyAlignment="1">
      <alignment horizontal="right" vertical="center" wrapText="1" readingOrder="2"/>
    </xf>
    <xf numFmtId="0" fontId="12" fillId="2" borderId="1" xfId="0" applyFont="1" applyFill="1" applyBorder="1" applyAlignment="1">
      <alignment horizontal="right" vertical="center" wrapText="1" readingOrder="2"/>
    </xf>
    <xf numFmtId="0" fontId="8" fillId="6" borderId="1" xfId="0" applyFont="1" applyFill="1" applyBorder="1" applyAlignment="1">
      <alignment horizontal="right" vertical="center" wrapText="1" readingOrder="2"/>
    </xf>
    <xf numFmtId="0" fontId="5" fillId="2" borderId="1" xfId="0" applyFont="1" applyFill="1" applyBorder="1" applyAlignment="1">
      <alignment horizontal="right" vertical="center" wrapText="1" readingOrder="2"/>
    </xf>
    <xf numFmtId="0" fontId="6" fillId="0" borderId="0" xfId="0" applyFont="1" applyAlignment="1">
      <alignment horizontal="right" vertical="center" readingOrder="2"/>
    </xf>
    <xf numFmtId="0" fontId="12" fillId="2" borderId="1" xfId="0" applyFont="1" applyFill="1" applyBorder="1" applyAlignment="1">
      <alignment horizontal="center" vertical="center" wrapText="1" readingOrder="2"/>
    </xf>
    <xf numFmtId="0" fontId="13" fillId="6" borderId="1" xfId="0" applyFont="1" applyFill="1" applyBorder="1" applyAlignment="1">
      <alignment horizontal="center" vertical="center" wrapText="1" readingOrder="2"/>
    </xf>
    <xf numFmtId="0" fontId="0" fillId="0" borderId="0" xfId="0" applyAlignment="1">
      <alignment horizontal="center" vertical="center" readingOrder="2"/>
    </xf>
    <xf numFmtId="0" fontId="5" fillId="2" borderId="0" xfId="0" applyFont="1" applyFill="1" applyAlignment="1">
      <alignment readingOrder="2"/>
    </xf>
    <xf numFmtId="9" fontId="0" fillId="0" borderId="1" xfId="0" applyNumberFormat="1" applyBorder="1" applyAlignment="1">
      <alignment readingOrder="2"/>
    </xf>
    <xf numFmtId="9" fontId="4" fillId="0" borderId="1" xfId="0" applyNumberFormat="1" applyFont="1" applyBorder="1" applyAlignment="1">
      <alignment readingOrder="2"/>
    </xf>
    <xf numFmtId="0" fontId="5" fillId="2" borderId="0" xfId="0" applyFont="1" applyFill="1" applyAlignment="1">
      <alignment horizontal="center" vertical="center" wrapText="1" readingOrder="2"/>
    </xf>
    <xf numFmtId="164" fontId="3" fillId="0" borderId="1" xfId="0" applyNumberFormat="1" applyFont="1" applyBorder="1" applyAlignment="1">
      <alignment horizontal="center" vertical="center" wrapText="1" readingOrder="2"/>
    </xf>
    <xf numFmtId="0" fontId="4" fillId="0" borderId="1" xfId="0" applyFont="1" applyBorder="1" applyAlignment="1">
      <alignment horizontal="center" vertical="center" wrapText="1" readingOrder="2"/>
    </xf>
    <xf numFmtId="164" fontId="4" fillId="0" borderId="1" xfId="0" applyNumberFormat="1" applyFont="1" applyBorder="1" applyAlignment="1">
      <alignment horizontal="center" vertical="center" wrapText="1" readingOrder="2"/>
    </xf>
    <xf numFmtId="0" fontId="4" fillId="0" borderId="0" xfId="0" applyFont="1" applyAlignment="1">
      <alignment readingOrder="2"/>
    </xf>
    <xf numFmtId="0" fontId="4" fillId="3" borderId="0" xfId="0" applyFont="1" applyFill="1" applyAlignment="1">
      <alignment readingOrder="2"/>
    </xf>
    <xf numFmtId="0" fontId="15" fillId="6" borderId="1" xfId="0" applyFont="1" applyFill="1" applyBorder="1" applyAlignment="1">
      <alignment horizontal="right" vertical="center" wrapText="1" readingOrder="2"/>
    </xf>
    <xf numFmtId="0" fontId="16" fillId="7" borderId="5" xfId="0" applyFont="1" applyFill="1" applyBorder="1" applyAlignment="1">
      <alignment horizontal="center" vertical="center"/>
    </xf>
    <xf numFmtId="0" fontId="17" fillId="0" borderId="0" xfId="0" applyFont="1" applyAlignment="1">
      <alignment horizontal="center" vertical="center"/>
    </xf>
    <xf numFmtId="0" fontId="17" fillId="0" borderId="0" xfId="0" applyFont="1" applyAlignment="1">
      <alignment horizontal="right" vertical="center"/>
    </xf>
    <xf numFmtId="0" fontId="0" fillId="0" borderId="0" xfId="0" applyAlignment="1">
      <alignment vertical="center" wrapText="1"/>
    </xf>
    <xf numFmtId="9" fontId="0" fillId="0" borderId="0" xfId="0" applyNumberFormat="1" applyAlignment="1">
      <alignment vertical="center" wrapText="1"/>
    </xf>
    <xf numFmtId="0" fontId="14" fillId="0" borderId="1" xfId="0" applyFont="1" applyBorder="1" applyAlignment="1">
      <alignment horizontal="center" vertical="center" wrapText="1" readingOrder="2"/>
    </xf>
    <xf numFmtId="164" fontId="14" fillId="0" borderId="1" xfId="0" applyNumberFormat="1" applyFont="1" applyBorder="1" applyAlignment="1">
      <alignment horizontal="center" vertical="center" wrapText="1" readingOrder="2"/>
    </xf>
    <xf numFmtId="9" fontId="0" fillId="0" borderId="0" xfId="0" applyNumberFormat="1" applyAlignment="1">
      <alignment vertical="center" wrapText="1" readingOrder="2"/>
    </xf>
    <xf numFmtId="9" fontId="4" fillId="3" borderId="0" xfId="1" applyFont="1" applyFill="1" applyAlignment="1">
      <alignment horizontal="center" vertical="center" readingOrder="2"/>
    </xf>
    <xf numFmtId="0" fontId="0" fillId="3" borderId="1" xfId="0" applyFill="1" applyBorder="1"/>
    <xf numFmtId="0" fontId="0" fillId="0" borderId="2" xfId="0" applyBorder="1"/>
    <xf numFmtId="0" fontId="0" fillId="3" borderId="1" xfId="0" applyFill="1" applyBorder="1" applyAlignment="1">
      <alignment horizontal="right"/>
    </xf>
    <xf numFmtId="3" fontId="0" fillId="3" borderId="1" xfId="0" applyNumberFormat="1" applyFill="1" applyBorder="1"/>
    <xf numFmtId="0" fontId="3" fillId="0" borderId="1" xfId="0" applyFont="1" applyBorder="1" applyAlignment="1">
      <alignment horizontal="right" vertical="center" wrapText="1"/>
    </xf>
    <xf numFmtId="0" fontId="0" fillId="0" borderId="8" xfId="0" applyBorder="1"/>
    <xf numFmtId="0" fontId="0" fillId="0" borderId="9" xfId="0" applyBorder="1"/>
    <xf numFmtId="0" fontId="0" fillId="0" borderId="7" xfId="0" applyBorder="1"/>
    <xf numFmtId="0" fontId="0" fillId="0" borderId="0" xfId="0"/>
    <xf numFmtId="0" fontId="0" fillId="0" borderId="10" xfId="0" applyBorder="1"/>
    <xf numFmtId="0" fontId="0" fillId="0" borderId="11" xfId="0" applyBorder="1"/>
    <xf numFmtId="0" fontId="0" fillId="0" borderId="4" xfId="0" applyBorder="1"/>
    <xf numFmtId="0" fontId="0" fillId="0" borderId="12" xfId="0" applyBorder="1"/>
    <xf numFmtId="0" fontId="1" fillId="2" borderId="0" xfId="0" applyFont="1" applyFill="1" applyAlignment="1">
      <alignment horizontal="center" vertical="center" wrapText="1"/>
    </xf>
    <xf numFmtId="0" fontId="2" fillId="0" borderId="0" xfId="0" applyFont="1" applyAlignment="1">
      <alignment horizontal="right" vertical="center" readingOrder="2"/>
    </xf>
    <xf numFmtId="0" fontId="0" fillId="0" borderId="0" xfId="0" applyAlignment="1">
      <alignment vertical="center"/>
    </xf>
    <xf numFmtId="0" fontId="9" fillId="0" borderId="0" xfId="0" applyFont="1" applyAlignment="1">
      <alignment horizontal="right" vertical="center" readingOrder="2"/>
    </xf>
    <xf numFmtId="0" fontId="0" fillId="0" borderId="0" xfId="0" applyAlignment="1">
      <alignment horizontal="right" readingOrder="2"/>
    </xf>
    <xf numFmtId="0" fontId="3" fillId="0" borderId="0" xfId="0" applyFont="1" applyAlignment="1">
      <alignment horizontal="right" vertical="center" wrapText="1" readingOrder="2"/>
    </xf>
    <xf numFmtId="0" fontId="8" fillId="0" borderId="0" xfId="0" applyFont="1" applyAlignment="1">
      <alignment horizontal="right" vertical="center" wrapText="1" readingOrder="2"/>
    </xf>
    <xf numFmtId="0" fontId="10" fillId="2" borderId="0" xfId="0" applyFont="1" applyFill="1" applyAlignment="1">
      <alignment horizontal="center" vertical="center" wrapText="1" readingOrder="2"/>
    </xf>
    <xf numFmtId="0" fontId="0" fillId="0" borderId="0" xfId="0" applyAlignment="1">
      <alignment horizontal="right" vertical="center" readingOrder="2"/>
    </xf>
    <xf numFmtId="0" fontId="9" fillId="0" borderId="0" xfId="0" applyFont="1" applyAlignment="1">
      <alignment horizontal="right" readingOrder="2"/>
    </xf>
    <xf numFmtId="0" fontId="5" fillId="2" borderId="1" xfId="0" applyFont="1" applyFill="1" applyBorder="1" applyAlignment="1">
      <alignment horizontal="right" vertical="center" wrapText="1" readingOrder="2"/>
    </xf>
    <xf numFmtId="0" fontId="6" fillId="0" borderId="0" xfId="0" applyFont="1" applyAlignment="1">
      <alignment horizontal="right" vertical="center" readingOrder="2"/>
    </xf>
    <xf numFmtId="0" fontId="3" fillId="4" borderId="1" xfId="0" applyFont="1" applyFill="1" applyBorder="1" applyAlignment="1">
      <alignment horizontal="right" vertical="center" wrapText="1" readingOrder="2"/>
    </xf>
    <xf numFmtId="0" fontId="0" fillId="0" borderId="0" xfId="0" applyAlignment="1">
      <alignment horizontal="center" vertical="center" readingOrder="2"/>
    </xf>
    <xf numFmtId="0" fontId="3" fillId="0" borderId="1" xfId="0" applyFont="1" applyBorder="1" applyAlignment="1">
      <alignment horizontal="right" vertical="center" wrapText="1" readingOrder="2"/>
    </xf>
    <xf numFmtId="0" fontId="6" fillId="0" borderId="4" xfId="0" applyFont="1" applyBorder="1" applyAlignment="1">
      <alignment horizontal="right" vertical="center" readingOrder="2"/>
    </xf>
    <xf numFmtId="0" fontId="11" fillId="0" borderId="0" xfId="0" applyFont="1" applyAlignment="1">
      <alignment horizontal="right" vertical="center" readingOrder="2"/>
    </xf>
    <xf numFmtId="0" fontId="1" fillId="2" borderId="0" xfId="0" applyFont="1" applyFill="1" applyAlignment="1">
      <alignment horizontal="center" vertical="center" wrapText="1" readingOrder="2"/>
    </xf>
    <xf numFmtId="0" fontId="2" fillId="0" borderId="0" xfId="0" applyFont="1"/>
    <xf numFmtId="0" fontId="6" fillId="0" borderId="0" xfId="0" applyFont="1"/>
    <xf numFmtId="0" fontId="4" fillId="0" borderId="0" xfId="0" applyFont="1"/>
    <xf numFmtId="0" fontId="2" fillId="0" borderId="0" xfId="0" applyFont="1" applyAlignment="1">
      <alignment horizontal="right" readingOrder="2"/>
    </xf>
    <xf numFmtId="0" fontId="0" fillId="0" borderId="0" xfId="0" applyAlignment="1">
      <alignment readingOrder="2"/>
    </xf>
    <xf numFmtId="0" fontId="5" fillId="2" borderId="6" xfId="0" applyFont="1" applyFill="1" applyBorder="1" applyAlignment="1">
      <alignment horizontal="center" vertical="center" wrapText="1" readingOrder="2"/>
    </xf>
    <xf numFmtId="0" fontId="0" fillId="0" borderId="6" xfId="0" applyBorder="1"/>
    <xf numFmtId="0" fontId="4" fillId="0" borderId="1" xfId="0" applyFont="1" applyBorder="1" applyAlignment="1">
      <alignment horizontal="right" readingOrder="2"/>
    </xf>
    <xf numFmtId="0" fontId="14" fillId="0" borderId="1" xfId="0" applyFont="1" applyBorder="1" applyAlignment="1">
      <alignment horizontal="right" readingOrder="2"/>
    </xf>
    <xf numFmtId="0" fontId="0" fillId="0" borderId="1" xfId="0" applyBorder="1" applyAlignment="1">
      <alignment horizontal="right" readingOrder="2"/>
    </xf>
    <xf numFmtId="0" fontId="5" fillId="2" borderId="4" xfId="0" applyFont="1" applyFill="1" applyBorder="1" applyAlignment="1">
      <alignment horizontal="right" readingOrder="2"/>
    </xf>
    <xf numFmtId="0" fontId="3" fillId="0" borderId="1" xfId="0" applyFont="1" applyBorder="1" applyAlignment="1">
      <alignment horizontal="right" readingOrder="2"/>
    </xf>
    <xf numFmtId="0" fontId="3" fillId="0" borderId="7" xfId="0" applyFont="1" applyBorder="1" applyAlignment="1">
      <alignment horizontal="center"/>
    </xf>
    <xf numFmtId="0" fontId="6" fillId="0" borderId="1" xfId="0" applyFont="1" applyBorder="1"/>
    <xf numFmtId="0" fontId="0" fillId="0" borderId="13" xfId="0" applyBorder="1"/>
    <xf numFmtId="164" fontId="3" fillId="0" borderId="7" xfId="0" applyNumberFormat="1" applyFont="1" applyBorder="1" applyAlignment="1">
      <alignment horizontal="center"/>
    </xf>
    <xf numFmtId="0" fontId="18" fillId="0" borderId="0" xfId="0" applyFont="1" applyAlignment="1">
      <alignment horizontal="right" vertical="center" readingOrder="2"/>
    </xf>
    <xf numFmtId="0" fontId="19" fillId="8" borderId="0" xfId="0" applyFont="1" applyFill="1" applyAlignment="1">
      <alignment horizontal="right" vertical="center" readingOrder="2"/>
    </xf>
    <xf numFmtId="0" fontId="20" fillId="0" borderId="0" xfId="0" applyFont="1" applyAlignment="1">
      <alignment readingOrder="2"/>
    </xf>
    <xf numFmtId="0" fontId="20" fillId="0" borderId="0" xfId="0" applyFont="1" applyAlignment="1">
      <alignment readingOrder="2"/>
    </xf>
    <xf numFmtId="0" fontId="16" fillId="9" borderId="16" xfId="0" applyFont="1" applyFill="1" applyBorder="1" applyAlignment="1">
      <alignment horizontal="right" vertical="center" readingOrder="2"/>
    </xf>
    <xf numFmtId="0" fontId="17" fillId="0" borderId="16" xfId="0" applyFont="1" applyBorder="1" applyAlignment="1">
      <alignment horizontal="right" vertical="center" readingOrder="2"/>
    </xf>
    <xf numFmtId="0" fontId="20" fillId="0" borderId="15" xfId="0" applyFont="1" applyBorder="1" applyAlignment="1">
      <alignment readingOrder="2"/>
    </xf>
    <xf numFmtId="0" fontId="20" fillId="0" borderId="14" xfId="0" applyFont="1" applyBorder="1" applyAlignment="1">
      <alignment readingOrder="2"/>
    </xf>
    <xf numFmtId="0" fontId="17" fillId="0" borderId="0" xfId="0" applyFont="1" applyAlignment="1">
      <alignment horizontal="right" vertical="center" readingOrder="2"/>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
  <sheetViews>
    <sheetView rightToLeft="1" tabSelected="1" zoomScaleNormal="100" workbookViewId="0">
      <selection activeCell="A20" sqref="A20:F20"/>
    </sheetView>
  </sheetViews>
  <sheetFormatPr defaultRowHeight="15"/>
  <cols>
    <col min="1" max="1" width="60.7109375" style="23" customWidth="1"/>
    <col min="2" max="6" width="16" style="23" customWidth="1"/>
    <col min="7" max="7" width="9.140625" style="23" customWidth="1"/>
    <col min="8" max="16384" width="9.140625" style="23"/>
  </cols>
  <sheetData>
    <row r="1" spans="1:7">
      <c r="A1" s="81" t="s">
        <v>20</v>
      </c>
      <c r="B1" s="78"/>
      <c r="C1" s="78"/>
      <c r="D1" s="78"/>
      <c r="E1" s="78"/>
      <c r="F1" s="78"/>
    </row>
    <row r="2" spans="1:7">
      <c r="A2" s="78"/>
      <c r="B2" s="78"/>
      <c r="C2" s="78"/>
      <c r="D2" s="78"/>
      <c r="E2" s="78"/>
      <c r="F2" s="78"/>
    </row>
    <row r="4" spans="1:7" s="21" customFormat="1" ht="16.5">
      <c r="A4" s="109" t="s">
        <v>238</v>
      </c>
      <c r="B4" s="110"/>
      <c r="C4" s="110"/>
      <c r="D4" s="111"/>
      <c r="E4" s="111"/>
      <c r="F4" s="111"/>
      <c r="G4" s="111"/>
    </row>
    <row r="5" spans="1:7" s="21" customFormat="1">
      <c r="A5" s="112" t="s">
        <v>237</v>
      </c>
      <c r="B5" s="113" t="s">
        <v>236</v>
      </c>
      <c r="C5" s="114"/>
      <c r="D5" s="115"/>
      <c r="E5" s="111"/>
      <c r="F5" s="111"/>
      <c r="G5" s="111"/>
    </row>
    <row r="6" spans="1:7" s="21" customFormat="1">
      <c r="A6" s="112" t="s">
        <v>235</v>
      </c>
      <c r="B6" s="113" t="s">
        <v>234</v>
      </c>
      <c r="C6" s="114"/>
      <c r="D6" s="115"/>
      <c r="E6" s="111"/>
      <c r="F6" s="111"/>
      <c r="G6" s="111"/>
    </row>
    <row r="7" spans="1:7" s="21" customFormat="1">
      <c r="A7" s="112" t="s">
        <v>233</v>
      </c>
      <c r="B7" s="113" t="s">
        <v>232</v>
      </c>
      <c r="C7" s="114"/>
      <c r="D7" s="115"/>
      <c r="E7" s="111"/>
      <c r="F7" s="111"/>
      <c r="G7" s="111"/>
    </row>
    <row r="8" spans="1:7" s="21" customFormat="1">
      <c r="A8" s="112" t="s">
        <v>231</v>
      </c>
      <c r="B8" s="113" t="s">
        <v>239</v>
      </c>
      <c r="C8" s="114"/>
      <c r="D8" s="115"/>
      <c r="E8" s="111"/>
      <c r="F8" s="111"/>
      <c r="G8" s="111"/>
    </row>
    <row r="9" spans="1:7" s="21" customFormat="1">
      <c r="A9" s="112" t="s">
        <v>230</v>
      </c>
      <c r="B9" s="113" t="s">
        <v>229</v>
      </c>
      <c r="C9" s="114"/>
      <c r="D9" s="115"/>
      <c r="E9" s="111"/>
      <c r="F9" s="111"/>
      <c r="G9" s="111"/>
    </row>
    <row r="10" spans="1:7" s="21" customFormat="1">
      <c r="A10" s="112" t="s">
        <v>228</v>
      </c>
      <c r="B10" s="113" t="s">
        <v>227</v>
      </c>
      <c r="C10" s="114"/>
      <c r="D10" s="115"/>
      <c r="E10" s="111"/>
      <c r="F10" s="111"/>
      <c r="G10" s="111"/>
    </row>
    <row r="11" spans="1:7" s="21" customFormat="1">
      <c r="A11" s="111"/>
      <c r="B11" s="111"/>
      <c r="C11" s="111"/>
      <c r="D11" s="111"/>
      <c r="E11" s="111"/>
      <c r="F11" s="111"/>
      <c r="G11" s="111"/>
    </row>
    <row r="12" spans="1:7" s="21" customFormat="1" ht="16.5">
      <c r="A12" s="109" t="s">
        <v>226</v>
      </c>
      <c r="B12" s="110"/>
      <c r="C12" s="110"/>
      <c r="D12" s="110"/>
      <c r="E12" s="110"/>
      <c r="F12" s="110"/>
      <c r="G12" s="110"/>
    </row>
    <row r="13" spans="1:7" s="21" customFormat="1">
      <c r="A13" s="116" t="s">
        <v>225</v>
      </c>
      <c r="B13" s="110"/>
      <c r="C13" s="110"/>
      <c r="D13" s="110"/>
      <c r="E13" s="110"/>
      <c r="F13" s="110"/>
      <c r="G13" s="110"/>
    </row>
    <row r="14" spans="1:7" s="21" customFormat="1">
      <c r="A14" s="116" t="s">
        <v>224</v>
      </c>
      <c r="B14" s="110"/>
      <c r="C14" s="110"/>
      <c r="D14" s="110"/>
      <c r="E14" s="110"/>
      <c r="F14" s="110"/>
      <c r="G14" s="110"/>
    </row>
    <row r="15" spans="1:7" s="21" customFormat="1">
      <c r="A15" s="116" t="s">
        <v>223</v>
      </c>
      <c r="B15" s="110"/>
      <c r="C15" s="110"/>
      <c r="D15" s="110"/>
      <c r="E15" s="110"/>
      <c r="F15" s="110"/>
      <c r="G15" s="110"/>
    </row>
    <row r="16" spans="1:7" s="21" customFormat="1">
      <c r="A16" s="116" t="s">
        <v>222</v>
      </c>
      <c r="B16" s="110"/>
      <c r="C16" s="110"/>
      <c r="D16" s="110"/>
      <c r="E16" s="110"/>
      <c r="F16" s="110"/>
      <c r="G16" s="110"/>
    </row>
    <row r="17" spans="1:7" s="21" customFormat="1">
      <c r="A17" s="116" t="s">
        <v>221</v>
      </c>
      <c r="B17" s="110"/>
      <c r="C17" s="110"/>
      <c r="D17" s="110"/>
      <c r="E17" s="110"/>
      <c r="F17" s="110"/>
      <c r="G17" s="110"/>
    </row>
    <row r="18" spans="1:7" s="21" customFormat="1">
      <c r="A18" s="108"/>
    </row>
    <row r="19" spans="1:7" s="25" customFormat="1" ht="20.25" customHeight="1">
      <c r="A19" s="77" t="s">
        <v>21</v>
      </c>
      <c r="B19" s="82"/>
      <c r="C19" s="82"/>
      <c r="D19" s="82"/>
      <c r="E19" s="82"/>
      <c r="F19" s="82"/>
    </row>
    <row r="20" spans="1:7" ht="38.25" customHeight="1">
      <c r="A20" s="80" t="s">
        <v>22</v>
      </c>
      <c r="B20" s="78"/>
      <c r="C20" s="78"/>
      <c r="D20" s="78"/>
      <c r="E20" s="78"/>
      <c r="F20" s="78"/>
    </row>
    <row r="21" spans="1:7" ht="14.25" customHeight="1">
      <c r="A21" s="34"/>
    </row>
    <row r="22" spans="1:7" s="26" customFormat="1" ht="19.5" customHeight="1">
      <c r="A22" s="75" t="s">
        <v>23</v>
      </c>
      <c r="B22" s="76"/>
      <c r="C22" s="76"/>
      <c r="D22" s="76"/>
      <c r="E22" s="76"/>
      <c r="F22" s="76"/>
    </row>
    <row r="23" spans="1:7" s="26" customFormat="1" ht="19.5" customHeight="1">
      <c r="A23" s="79" t="s">
        <v>24</v>
      </c>
      <c r="B23" s="76"/>
      <c r="C23" s="76"/>
      <c r="D23" s="76"/>
      <c r="E23" s="76"/>
      <c r="F23" s="76"/>
    </row>
    <row r="24" spans="1:7" s="26" customFormat="1" ht="19.5" customHeight="1">
      <c r="A24" s="27" t="s">
        <v>25</v>
      </c>
      <c r="B24" s="79" t="s">
        <v>216</v>
      </c>
      <c r="C24" s="76"/>
      <c r="D24" s="76"/>
      <c r="E24" s="76"/>
      <c r="F24" s="76"/>
    </row>
    <row r="25" spans="1:7" s="26" customFormat="1" ht="19.5" customHeight="1">
      <c r="A25" s="27" t="s">
        <v>26</v>
      </c>
      <c r="B25" s="79" t="s">
        <v>27</v>
      </c>
      <c r="C25" s="76"/>
      <c r="D25" s="76"/>
      <c r="E25" s="76"/>
      <c r="F25" s="76"/>
    </row>
    <row r="26" spans="1:7" s="26" customFormat="1" ht="19.5" customHeight="1">
      <c r="A26" s="27" t="s">
        <v>28</v>
      </c>
      <c r="B26" s="79" t="s">
        <v>29</v>
      </c>
      <c r="C26" s="76"/>
      <c r="D26" s="76"/>
      <c r="E26" s="76"/>
      <c r="F26" s="76"/>
    </row>
    <row r="27" spans="1:7" s="26" customFormat="1" ht="19.5" customHeight="1">
      <c r="A27" s="27"/>
      <c r="B27" s="22"/>
      <c r="C27" s="25"/>
      <c r="D27" s="25"/>
      <c r="E27" s="25"/>
      <c r="F27" s="25"/>
    </row>
    <row r="28" spans="1:7" s="26" customFormat="1" ht="19.5" customHeight="1">
      <c r="A28" s="75" t="s">
        <v>30</v>
      </c>
      <c r="B28" s="76"/>
      <c r="C28" s="76"/>
      <c r="D28" s="76"/>
      <c r="E28" s="76"/>
      <c r="F28" s="76"/>
    </row>
    <row r="29" spans="1:7" s="26" customFormat="1" ht="19.5" customHeight="1">
      <c r="A29" s="79" t="s">
        <v>31</v>
      </c>
      <c r="B29" s="76"/>
      <c r="C29" s="76"/>
      <c r="D29" s="76"/>
      <c r="E29" s="76"/>
      <c r="F29" s="76"/>
    </row>
    <row r="30" spans="1:7" s="26" customFormat="1" ht="19.5" customHeight="1">
      <c r="A30" s="22"/>
      <c r="B30" s="25"/>
      <c r="C30" s="25"/>
      <c r="D30" s="25"/>
      <c r="E30" s="25"/>
      <c r="F30" s="25"/>
    </row>
    <row r="31" spans="1:7" s="26" customFormat="1" ht="19.5" customHeight="1">
      <c r="A31" s="75" t="s">
        <v>32</v>
      </c>
      <c r="B31" s="76"/>
      <c r="C31" s="76"/>
      <c r="D31" s="76"/>
      <c r="E31" s="76"/>
      <c r="F31" s="76"/>
    </row>
    <row r="32" spans="1:7" s="26" customFormat="1" ht="42.75" customHeight="1">
      <c r="A32" s="79" t="s">
        <v>33</v>
      </c>
      <c r="B32" s="76"/>
      <c r="C32" s="76"/>
      <c r="D32" s="76"/>
      <c r="E32" s="76"/>
      <c r="F32" s="76"/>
    </row>
    <row r="33" spans="1:6" ht="21" customHeight="1">
      <c r="A33" s="77" t="s">
        <v>34</v>
      </c>
      <c r="B33" s="78"/>
      <c r="C33" s="78"/>
      <c r="D33" s="78"/>
      <c r="E33" s="78"/>
      <c r="F33" s="78"/>
    </row>
    <row r="34" spans="1:6" ht="39" customHeight="1">
      <c r="A34" s="80" t="s">
        <v>35</v>
      </c>
      <c r="B34" s="78"/>
      <c r="C34" s="78"/>
      <c r="D34" s="78"/>
      <c r="E34" s="78"/>
      <c r="F34" s="78"/>
    </row>
    <row r="35" spans="1:6" ht="11.25" customHeight="1">
      <c r="A35" s="34"/>
    </row>
    <row r="36" spans="1:6" ht="26.25" customHeight="1">
      <c r="A36" s="77" t="s">
        <v>36</v>
      </c>
      <c r="B36" s="78"/>
      <c r="C36" s="78"/>
      <c r="D36" s="78"/>
      <c r="E36" s="78"/>
      <c r="F36" s="78"/>
    </row>
    <row r="37" spans="1:6" ht="63" customHeight="1">
      <c r="A37" s="80" t="s">
        <v>217</v>
      </c>
      <c r="B37" s="78"/>
      <c r="C37" s="78"/>
      <c r="D37" s="78"/>
      <c r="E37" s="78"/>
      <c r="F37" s="78"/>
    </row>
    <row r="38" spans="1:6" ht="21" customHeight="1">
      <c r="A38" s="34"/>
    </row>
    <row r="39" spans="1:6" ht="15.75" customHeight="1">
      <c r="A39" s="83" t="s">
        <v>37</v>
      </c>
      <c r="B39" s="78"/>
      <c r="C39" s="78"/>
      <c r="D39" s="78"/>
      <c r="E39" s="78"/>
      <c r="F39" s="78"/>
    </row>
    <row r="40" spans="1:6" ht="35.25" customHeight="1">
      <c r="A40" s="80" t="s">
        <v>218</v>
      </c>
      <c r="B40" s="78"/>
      <c r="C40" s="78"/>
      <c r="D40" s="78"/>
      <c r="E40" s="78"/>
      <c r="F40" s="78"/>
    </row>
    <row r="41" spans="1:6" ht="24" customHeight="1">
      <c r="A41" s="34"/>
    </row>
    <row r="42" spans="1:6" s="26" customFormat="1" ht="19.5" customHeight="1">
      <c r="A42" s="75" t="s">
        <v>38</v>
      </c>
      <c r="B42" s="76"/>
      <c r="C42" s="76"/>
      <c r="D42" s="76"/>
      <c r="E42" s="76"/>
      <c r="F42" s="76"/>
    </row>
    <row r="43" spans="1:6" s="26" customFormat="1" ht="92.25" customHeight="1">
      <c r="A43" s="79" t="s">
        <v>240</v>
      </c>
      <c r="B43" s="76"/>
      <c r="C43" s="76"/>
      <c r="D43" s="76"/>
      <c r="E43" s="76"/>
      <c r="F43" s="76"/>
    </row>
    <row r="44" spans="1:6" s="26" customFormat="1" ht="18.75" customHeight="1">
      <c r="A44" s="22"/>
      <c r="B44" s="25"/>
      <c r="C44" s="25"/>
      <c r="D44" s="25"/>
      <c r="E44" s="25"/>
      <c r="F44" s="25"/>
    </row>
    <row r="45" spans="1:6" ht="15.75" customHeight="1">
      <c r="A45" s="95" t="s">
        <v>241</v>
      </c>
      <c r="B45" s="78"/>
      <c r="C45" s="78"/>
      <c r="D45" s="78"/>
      <c r="E45" s="78"/>
      <c r="F45" s="78"/>
    </row>
    <row r="46" spans="1:6" ht="60" customHeight="1">
      <c r="A46" s="80" t="s">
        <v>39</v>
      </c>
      <c r="B46" s="78"/>
      <c r="C46" s="78"/>
      <c r="D46" s="78"/>
      <c r="E46" s="78"/>
      <c r="F46" s="78"/>
    </row>
  </sheetData>
  <mergeCells count="35">
    <mergeCell ref="A16:G16"/>
    <mergeCell ref="A15:G15"/>
    <mergeCell ref="B9:D9"/>
    <mergeCell ref="A4:C4"/>
    <mergeCell ref="A14:G14"/>
    <mergeCell ref="B10:D10"/>
    <mergeCell ref="A43:F43"/>
    <mergeCell ref="A28:F28"/>
    <mergeCell ref="A34:F34"/>
    <mergeCell ref="B25:F25"/>
    <mergeCell ref="A46:F46"/>
    <mergeCell ref="A45:F45"/>
    <mergeCell ref="A39:F39"/>
    <mergeCell ref="A40:F40"/>
    <mergeCell ref="B26:F26"/>
    <mergeCell ref="A20:F20"/>
    <mergeCell ref="A1:F2"/>
    <mergeCell ref="A23:F23"/>
    <mergeCell ref="A37:F37"/>
    <mergeCell ref="A32:F32"/>
    <mergeCell ref="A19:F19"/>
    <mergeCell ref="B24:F24"/>
    <mergeCell ref="A22:F22"/>
    <mergeCell ref="A13:G13"/>
    <mergeCell ref="A12:G12"/>
    <mergeCell ref="B7:D7"/>
    <mergeCell ref="B6:D6"/>
    <mergeCell ref="B5:D5"/>
    <mergeCell ref="A17:G17"/>
    <mergeCell ref="B8:D8"/>
    <mergeCell ref="A31:F31"/>
    <mergeCell ref="A42:F42"/>
    <mergeCell ref="A33:F33"/>
    <mergeCell ref="A36:F36"/>
    <mergeCell ref="A29:F2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rightToLeft="1" workbookViewId="0">
      <selection activeCell="B19" sqref="B19"/>
    </sheetView>
  </sheetViews>
  <sheetFormatPr defaultRowHeight="15"/>
  <cols>
    <col min="1" max="1" width="31.7109375" customWidth="1"/>
    <col min="2" max="2" width="21.28515625" customWidth="1"/>
    <col min="3" max="3" width="9.5703125" customWidth="1"/>
    <col min="4" max="4" width="31" bestFit="1" customWidth="1"/>
    <col min="5" max="5" width="16" customWidth="1"/>
    <col min="6" max="6" width="9.42578125" customWidth="1"/>
  </cols>
  <sheetData>
    <row r="1" spans="1:6">
      <c r="A1" s="74" t="s">
        <v>0</v>
      </c>
      <c r="B1" s="69"/>
      <c r="C1" s="69"/>
      <c r="D1" s="69"/>
      <c r="E1" s="69"/>
      <c r="F1" s="69"/>
    </row>
    <row r="2" spans="1:6">
      <c r="A2" s="69"/>
      <c r="B2" s="69"/>
      <c r="C2" s="69"/>
      <c r="D2" s="69"/>
      <c r="E2" s="69"/>
      <c r="F2" s="69"/>
    </row>
    <row r="4" spans="1:6">
      <c r="A4" s="2" t="s">
        <v>1</v>
      </c>
      <c r="B4" s="61" t="s">
        <v>2</v>
      </c>
      <c r="C4" s="62"/>
      <c r="D4" s="2" t="s">
        <v>3</v>
      </c>
      <c r="E4" s="63" t="s">
        <v>4</v>
      </c>
      <c r="F4" s="62"/>
    </row>
    <row r="5" spans="1:6">
      <c r="A5" s="2" t="s">
        <v>5</v>
      </c>
      <c r="B5" s="61" t="s">
        <v>6</v>
      </c>
      <c r="C5" s="62"/>
      <c r="D5" s="2" t="s">
        <v>7</v>
      </c>
      <c r="E5" s="61" t="s">
        <v>8</v>
      </c>
      <c r="F5" s="62"/>
    </row>
    <row r="6" spans="1:6">
      <c r="A6" s="2" t="s">
        <v>9</v>
      </c>
      <c r="B6" s="61" t="s">
        <v>10</v>
      </c>
      <c r="C6" s="62"/>
      <c r="D6" s="2" t="s">
        <v>11</v>
      </c>
      <c r="E6" s="61" t="s">
        <v>12</v>
      </c>
      <c r="F6" s="62"/>
    </row>
    <row r="7" spans="1:6">
      <c r="A7" s="2" t="s">
        <v>13</v>
      </c>
      <c r="B7" s="61" t="s">
        <v>10</v>
      </c>
      <c r="C7" s="62"/>
      <c r="D7" s="2" t="s">
        <v>14</v>
      </c>
      <c r="E7" s="64">
        <v>5000000</v>
      </c>
      <c r="F7" s="62"/>
    </row>
    <row r="9" spans="1:6" ht="15.75" customHeight="1">
      <c r="A9" s="1" t="s">
        <v>15</v>
      </c>
    </row>
    <row r="10" spans="1:6">
      <c r="A10" s="65" t="s">
        <v>16</v>
      </c>
      <c r="B10" s="66"/>
      <c r="C10" s="66"/>
      <c r="D10" s="66"/>
      <c r="E10" s="66"/>
      <c r="F10" s="67"/>
    </row>
    <row r="11" spans="1:6">
      <c r="A11" s="68"/>
      <c r="B11" s="69"/>
      <c r="C11" s="69"/>
      <c r="D11" s="69"/>
      <c r="E11" s="69"/>
      <c r="F11" s="70"/>
    </row>
    <row r="12" spans="1:6">
      <c r="A12" s="68"/>
      <c r="B12" s="69"/>
      <c r="C12" s="69"/>
      <c r="D12" s="69"/>
      <c r="E12" s="69"/>
      <c r="F12" s="70"/>
    </row>
    <row r="13" spans="1:6">
      <c r="A13" s="71"/>
      <c r="B13" s="72"/>
      <c r="C13" s="72"/>
      <c r="D13" s="72"/>
      <c r="E13" s="72"/>
      <c r="F13" s="73"/>
    </row>
    <row r="15" spans="1:6">
      <c r="A15" s="2" t="s">
        <v>17</v>
      </c>
      <c r="D15" s="2" t="s">
        <v>18</v>
      </c>
    </row>
    <row r="17" spans="1:1">
      <c r="A17" s="2" t="s">
        <v>19</v>
      </c>
    </row>
  </sheetData>
  <mergeCells count="10">
    <mergeCell ref="A10:F13"/>
    <mergeCell ref="A1:F2"/>
    <mergeCell ref="E5:F5"/>
    <mergeCell ref="B4:C4"/>
    <mergeCell ref="B6:C6"/>
    <mergeCell ref="E4:F4"/>
    <mergeCell ref="E6:F6"/>
    <mergeCell ref="B7:C7"/>
    <mergeCell ref="E7:F7"/>
    <mergeCell ref="B5:C5"/>
  </mergeCell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5"/>
  <sheetViews>
    <sheetView rightToLeft="1" topLeftCell="A10" workbookViewId="0">
      <selection activeCell="A18" sqref="A18:E18"/>
    </sheetView>
  </sheetViews>
  <sheetFormatPr defaultRowHeight="15"/>
  <cols>
    <col min="1" max="1" width="17.140625" style="25" customWidth="1"/>
    <col min="2" max="2" width="22.140625" style="41" bestFit="1" customWidth="1"/>
    <col min="3" max="3" width="46" style="25" customWidth="1"/>
    <col min="4" max="4" width="28.28515625" style="25" bestFit="1" customWidth="1"/>
    <col min="5" max="5" width="25.5703125" style="25" bestFit="1" customWidth="1"/>
    <col min="6" max="6" width="18" style="25" customWidth="1"/>
    <col min="7" max="7" width="9.140625" style="25" customWidth="1"/>
    <col min="8" max="16384" width="9.140625" style="25"/>
  </cols>
  <sheetData>
    <row r="1" spans="1:6">
      <c r="A1" s="91" t="s">
        <v>40</v>
      </c>
      <c r="B1" s="87"/>
      <c r="C1" s="82"/>
      <c r="D1" s="82"/>
      <c r="E1" s="82"/>
    </row>
    <row r="2" spans="1:6">
      <c r="A2" s="82"/>
      <c r="B2" s="87"/>
      <c r="C2" s="82"/>
      <c r="D2" s="82"/>
      <c r="E2" s="82"/>
    </row>
    <row r="4" spans="1:6">
      <c r="A4" s="75" t="s">
        <v>41</v>
      </c>
      <c r="B4" s="87"/>
      <c r="C4" s="82"/>
      <c r="D4" s="82"/>
      <c r="E4" s="82"/>
      <c r="F4" s="24"/>
    </row>
    <row r="5" spans="1:6">
      <c r="A5" s="89" t="s">
        <v>42</v>
      </c>
      <c r="B5" s="72"/>
      <c r="C5" s="72"/>
      <c r="D5" s="72"/>
      <c r="E5" s="72"/>
    </row>
    <row r="6" spans="1:6">
      <c r="A6" s="37" t="s">
        <v>43</v>
      </c>
      <c r="B6" s="33" t="s">
        <v>44</v>
      </c>
      <c r="C6" s="37" t="s">
        <v>45</v>
      </c>
      <c r="D6" s="37" t="s">
        <v>46</v>
      </c>
      <c r="E6" s="37" t="s">
        <v>47</v>
      </c>
    </row>
    <row r="7" spans="1:6" ht="25.5">
      <c r="A7" s="32" t="s">
        <v>48</v>
      </c>
      <c r="B7" s="31" t="s">
        <v>49</v>
      </c>
      <c r="C7" s="32" t="s">
        <v>50</v>
      </c>
      <c r="D7" s="32" t="s">
        <v>51</v>
      </c>
      <c r="E7" s="32" t="s">
        <v>52</v>
      </c>
    </row>
    <row r="8" spans="1:6" ht="25.5">
      <c r="A8" s="30" t="s">
        <v>53</v>
      </c>
      <c r="B8" s="29" t="s">
        <v>54</v>
      </c>
      <c r="C8" s="30" t="s">
        <v>55</v>
      </c>
      <c r="D8" s="30" t="s">
        <v>51</v>
      </c>
      <c r="E8" s="30" t="s">
        <v>56</v>
      </c>
    </row>
    <row r="9" spans="1:6" ht="25.5" customHeight="1">
      <c r="A9" s="32" t="s">
        <v>57</v>
      </c>
      <c r="B9" s="31" t="s">
        <v>49</v>
      </c>
      <c r="C9" s="32" t="s">
        <v>58</v>
      </c>
      <c r="D9" s="32" t="s">
        <v>59</v>
      </c>
      <c r="E9" s="32" t="s">
        <v>60</v>
      </c>
    </row>
    <row r="10" spans="1:6" ht="25.5" customHeight="1">
      <c r="A10" s="30" t="s">
        <v>61</v>
      </c>
      <c r="B10" s="29" t="s">
        <v>62</v>
      </c>
      <c r="C10" s="30" t="s">
        <v>63</v>
      </c>
      <c r="D10" s="30" t="s">
        <v>51</v>
      </c>
      <c r="E10" s="30" t="s">
        <v>64</v>
      </c>
    </row>
    <row r="11" spans="1:6" ht="25.5">
      <c r="A11" s="32" t="s">
        <v>65</v>
      </c>
      <c r="B11" s="31" t="s">
        <v>66</v>
      </c>
      <c r="C11" s="32" t="s">
        <v>67</v>
      </c>
      <c r="D11" s="32" t="s">
        <v>68</v>
      </c>
      <c r="E11" s="32" t="s">
        <v>69</v>
      </c>
    </row>
    <row r="13" spans="1:6">
      <c r="A13" s="75" t="s">
        <v>70</v>
      </c>
      <c r="B13" s="87"/>
      <c r="C13" s="82"/>
      <c r="D13" s="82"/>
      <c r="E13" s="82"/>
      <c r="F13" s="24"/>
    </row>
    <row r="14" spans="1:6">
      <c r="A14" s="90" t="s">
        <v>71</v>
      </c>
      <c r="B14" s="87"/>
      <c r="C14" s="82"/>
      <c r="D14" s="82"/>
      <c r="E14" s="82"/>
      <c r="F14" s="24"/>
    </row>
    <row r="15" spans="1:6">
      <c r="A15" s="35" t="s">
        <v>43</v>
      </c>
      <c r="B15" s="39" t="s">
        <v>72</v>
      </c>
      <c r="C15" s="35" t="s">
        <v>45</v>
      </c>
      <c r="D15" s="35" t="s">
        <v>73</v>
      </c>
      <c r="E15" s="35" t="s">
        <v>74</v>
      </c>
    </row>
    <row r="16" spans="1:6" ht="25.5" customHeight="1">
      <c r="A16" s="36" t="s">
        <v>75</v>
      </c>
      <c r="B16" s="40" t="s">
        <v>84</v>
      </c>
      <c r="C16" s="36" t="s">
        <v>76</v>
      </c>
      <c r="D16" s="51" t="str">
        <f t="array" ref="D16">_xlfn.IFS(B16="-","-",B16="متوسط","کسر 5% امتیاز",B16="زیاد","کسر 10% امتیاز",B16="بحرانی","کسر تمام امتیازات")</f>
        <v>کسر 5% امتیاز</v>
      </c>
      <c r="E16" s="36" t="s">
        <v>77</v>
      </c>
    </row>
    <row r="18" spans="1:6">
      <c r="A18" s="75" t="s">
        <v>78</v>
      </c>
      <c r="B18" s="87"/>
      <c r="C18" s="82"/>
      <c r="D18" s="82"/>
      <c r="E18" s="82"/>
      <c r="F18" s="24"/>
    </row>
    <row r="19" spans="1:6">
      <c r="A19" s="89" t="s">
        <v>79</v>
      </c>
      <c r="B19" s="72"/>
      <c r="C19" s="72"/>
      <c r="D19" s="72"/>
      <c r="E19" s="72"/>
    </row>
    <row r="20" spans="1:6">
      <c r="A20" s="37" t="s">
        <v>80</v>
      </c>
      <c r="B20" s="33" t="s">
        <v>81</v>
      </c>
      <c r="C20" s="84" t="s">
        <v>82</v>
      </c>
      <c r="D20" s="62"/>
      <c r="E20" s="37" t="s">
        <v>83</v>
      </c>
    </row>
    <row r="21" spans="1:6">
      <c r="A21" s="32" t="s">
        <v>84</v>
      </c>
      <c r="B21" s="31" t="s">
        <v>85</v>
      </c>
      <c r="C21" s="88" t="s">
        <v>86</v>
      </c>
      <c r="D21" s="62"/>
      <c r="E21" s="32" t="s">
        <v>87</v>
      </c>
    </row>
    <row r="22" spans="1:6">
      <c r="A22" s="30" t="s">
        <v>88</v>
      </c>
      <c r="B22" s="29" t="s">
        <v>89</v>
      </c>
      <c r="C22" s="86" t="s">
        <v>90</v>
      </c>
      <c r="D22" s="62"/>
      <c r="E22" s="30" t="s">
        <v>91</v>
      </c>
      <c r="F22" s="38"/>
    </row>
    <row r="23" spans="1:6">
      <c r="A23" s="32" t="s">
        <v>92</v>
      </c>
      <c r="B23" s="31" t="s">
        <v>51</v>
      </c>
      <c r="C23" s="88" t="s">
        <v>93</v>
      </c>
      <c r="D23" s="62"/>
      <c r="E23" s="32" t="s">
        <v>94</v>
      </c>
      <c r="F23" s="38"/>
    </row>
    <row r="24" spans="1:6">
      <c r="F24" s="38"/>
    </row>
    <row r="25" spans="1:6">
      <c r="A25" s="27" t="s">
        <v>95</v>
      </c>
      <c r="F25" s="38"/>
    </row>
    <row r="26" spans="1:6">
      <c r="A26" s="85" t="s">
        <v>96</v>
      </c>
      <c r="B26" s="87"/>
      <c r="C26" s="38" t="s">
        <v>97</v>
      </c>
      <c r="D26" s="85" t="s">
        <v>98</v>
      </c>
      <c r="E26" s="82"/>
    </row>
    <row r="27" spans="1:6">
      <c r="A27" s="85" t="s">
        <v>99</v>
      </c>
      <c r="B27" s="87"/>
      <c r="C27" s="38" t="s">
        <v>100</v>
      </c>
      <c r="D27" s="85" t="s">
        <v>101</v>
      </c>
      <c r="E27" s="82"/>
      <c r="F27" s="24"/>
    </row>
    <row r="28" spans="1:6">
      <c r="A28" s="85" t="s">
        <v>102</v>
      </c>
      <c r="B28" s="87"/>
      <c r="C28" s="38" t="s">
        <v>103</v>
      </c>
      <c r="D28" s="85" t="s">
        <v>104</v>
      </c>
      <c r="E28" s="82"/>
    </row>
    <row r="29" spans="1:6">
      <c r="A29" s="85" t="s">
        <v>105</v>
      </c>
      <c r="B29" s="87"/>
      <c r="C29" s="38" t="s">
        <v>106</v>
      </c>
      <c r="D29" s="85" t="s">
        <v>107</v>
      </c>
      <c r="E29" s="82"/>
    </row>
    <row r="31" spans="1:6">
      <c r="A31" s="75" t="s">
        <v>108</v>
      </c>
      <c r="B31" s="87"/>
      <c r="C31" s="82"/>
      <c r="D31" s="82"/>
      <c r="E31" s="82"/>
      <c r="F31" s="24"/>
    </row>
    <row r="32" spans="1:6">
      <c r="A32" s="90" t="s">
        <v>109</v>
      </c>
      <c r="B32" s="87"/>
      <c r="C32" s="82"/>
      <c r="D32" s="82"/>
      <c r="E32" s="82"/>
      <c r="F32" s="24"/>
    </row>
    <row r="33" spans="1:5" ht="25.5" customHeight="1">
      <c r="A33" s="37" t="s">
        <v>43</v>
      </c>
      <c r="B33" s="33" t="s">
        <v>110</v>
      </c>
      <c r="C33" s="37" t="s">
        <v>111</v>
      </c>
      <c r="D33" s="37" t="s">
        <v>112</v>
      </c>
      <c r="E33" s="37" t="s">
        <v>83</v>
      </c>
    </row>
    <row r="34" spans="1:5" ht="25.5" customHeight="1">
      <c r="A34" s="32" t="s">
        <v>113</v>
      </c>
      <c r="B34" s="31" t="s">
        <v>114</v>
      </c>
      <c r="C34" s="32" t="s">
        <v>115</v>
      </c>
      <c r="D34" s="32" t="s">
        <v>116</v>
      </c>
      <c r="E34" s="32" t="s">
        <v>91</v>
      </c>
    </row>
    <row r="35" spans="1:5" ht="25.5" customHeight="1">
      <c r="A35" s="30" t="s">
        <v>117</v>
      </c>
      <c r="B35" s="29" t="s">
        <v>118</v>
      </c>
      <c r="C35" s="30" t="s">
        <v>119</v>
      </c>
      <c r="D35" s="30" t="s">
        <v>120</v>
      </c>
      <c r="E35" s="30" t="s">
        <v>87</v>
      </c>
    </row>
  </sheetData>
  <autoFilter ref="A6:E11" xr:uid="{00000000-0009-0000-0000-000002000000}"/>
  <mergeCells count="21">
    <mergeCell ref="D28:E28"/>
    <mergeCell ref="A5:E5"/>
    <mergeCell ref="A32:E32"/>
    <mergeCell ref="A1:E2"/>
    <mergeCell ref="A14:E14"/>
    <mergeCell ref="C23:D23"/>
    <mergeCell ref="A4:E4"/>
    <mergeCell ref="A29:B29"/>
    <mergeCell ref="D29:E29"/>
    <mergeCell ref="A19:E19"/>
    <mergeCell ref="A28:B28"/>
    <mergeCell ref="A13:E13"/>
    <mergeCell ref="A31:E31"/>
    <mergeCell ref="D26:E26"/>
    <mergeCell ref="C20:D20"/>
    <mergeCell ref="D27:E27"/>
    <mergeCell ref="C22:D22"/>
    <mergeCell ref="A27:B27"/>
    <mergeCell ref="A18:E18"/>
    <mergeCell ref="A26:B26"/>
    <mergeCell ref="C21:D21"/>
  </mergeCells>
  <dataValidations count="4">
    <dataValidation type="list" sqref="E21:E23 E34:E35" xr:uid="{00000000-0002-0000-0200-000000000000}">
      <formula1>"ثبت شده,در حال بررسی,تایید شده,اجرا شده,رد شده"</formula1>
    </dataValidation>
    <dataValidation type="list" sqref="A21:A23" xr:uid="{00000000-0002-0000-0200-000001000000}">
      <formula1>"کم,متوسط,زیاد"</formula1>
    </dataValidation>
    <dataValidation type="list" sqref="B7:B11" xr:uid="{00000000-0002-0000-0200-000002000000}">
      <formula1>"مثبت,منفی,قابل توجه,پیشنهاد بهبود,تشویق"</formula1>
    </dataValidation>
    <dataValidation type="list" sqref="B16" xr:uid="{00000000-0002-0000-0200-000003000000}">
      <formula1>"-,متوسط,زیاد,بحرانی"</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0"/>
  <sheetViews>
    <sheetView rightToLeft="1" workbookViewId="0">
      <selection activeCell="A25" sqref="A25:C25"/>
    </sheetView>
  </sheetViews>
  <sheetFormatPr defaultRowHeight="15"/>
  <cols>
    <col min="1" max="1" width="5.42578125" bestFit="1" customWidth="1"/>
    <col min="2" max="2" width="30.28515625" bestFit="1" customWidth="1"/>
    <col min="3" max="3" width="11.140625" bestFit="1" customWidth="1"/>
    <col min="4" max="4" width="8.5703125" bestFit="1" customWidth="1"/>
    <col min="5" max="5" width="11" bestFit="1" customWidth="1"/>
    <col min="6" max="6" width="18.140625" customWidth="1"/>
  </cols>
  <sheetData>
    <row r="1" spans="1:6">
      <c r="A1" s="74" t="s">
        <v>121</v>
      </c>
      <c r="B1" s="69"/>
      <c r="C1" s="69"/>
      <c r="D1" s="69"/>
      <c r="E1" s="69"/>
      <c r="F1" s="69"/>
    </row>
    <row r="2" spans="1:6">
      <c r="A2" s="69"/>
      <c r="B2" s="69"/>
      <c r="C2" s="69"/>
      <c r="D2" s="69"/>
      <c r="E2" s="69"/>
      <c r="F2" s="69"/>
    </row>
    <row r="4" spans="1:6">
      <c r="A4" s="4" t="s">
        <v>122</v>
      </c>
      <c r="B4" s="4" t="s">
        <v>123</v>
      </c>
      <c r="C4" s="4" t="s">
        <v>124</v>
      </c>
      <c r="D4" s="4" t="s">
        <v>125</v>
      </c>
      <c r="E4" s="4" t="s">
        <v>126</v>
      </c>
      <c r="F4" s="4" t="s">
        <v>127</v>
      </c>
    </row>
    <row r="5" spans="1:6" ht="25.5">
      <c r="A5" s="5">
        <v>1</v>
      </c>
      <c r="B5" s="3" t="s">
        <v>128</v>
      </c>
      <c r="C5" s="5" t="s">
        <v>129</v>
      </c>
      <c r="D5" s="6">
        <v>0.2</v>
      </c>
      <c r="E5" s="5">
        <v>5</v>
      </c>
      <c r="F5" s="7">
        <f t="shared" ref="F5:F11" si="0">D5*E5</f>
        <v>1</v>
      </c>
    </row>
    <row r="6" spans="1:6" ht="25.5">
      <c r="A6" s="8">
        <v>2</v>
      </c>
      <c r="B6" s="9" t="s">
        <v>130</v>
      </c>
      <c r="C6" s="8" t="s">
        <v>129</v>
      </c>
      <c r="D6" s="10">
        <v>0.15</v>
      </c>
      <c r="E6" s="8">
        <v>4</v>
      </c>
      <c r="F6" s="11">
        <f t="shared" si="0"/>
        <v>0.6</v>
      </c>
    </row>
    <row r="7" spans="1:6" ht="25.5">
      <c r="A7" s="5">
        <v>3</v>
      </c>
      <c r="B7" s="3" t="s">
        <v>131</v>
      </c>
      <c r="C7" s="5" t="s">
        <v>129</v>
      </c>
      <c r="D7" s="6">
        <v>0.15</v>
      </c>
      <c r="E7" s="5">
        <v>4</v>
      </c>
      <c r="F7" s="7">
        <f t="shared" si="0"/>
        <v>0.6</v>
      </c>
    </row>
    <row r="8" spans="1:6" ht="25.5">
      <c r="A8" s="8">
        <v>4</v>
      </c>
      <c r="B8" s="9" t="s">
        <v>132</v>
      </c>
      <c r="C8" s="8" t="s">
        <v>129</v>
      </c>
      <c r="D8" s="10">
        <v>0.1</v>
      </c>
      <c r="E8" s="8">
        <v>5</v>
      </c>
      <c r="F8" s="11">
        <f t="shared" si="0"/>
        <v>0.5</v>
      </c>
    </row>
    <row r="9" spans="1:6" ht="25.5">
      <c r="A9" s="5">
        <v>5</v>
      </c>
      <c r="B9" s="3" t="s">
        <v>133</v>
      </c>
      <c r="C9" s="5" t="s">
        <v>134</v>
      </c>
      <c r="D9" s="6">
        <v>0.15</v>
      </c>
      <c r="E9" s="5">
        <v>3</v>
      </c>
      <c r="F9" s="7">
        <f t="shared" si="0"/>
        <v>0.44999999999999996</v>
      </c>
    </row>
    <row r="10" spans="1:6" ht="25.5">
      <c r="A10" s="8">
        <v>6</v>
      </c>
      <c r="B10" s="9" t="s">
        <v>135</v>
      </c>
      <c r="C10" s="8" t="s">
        <v>134</v>
      </c>
      <c r="D10" s="10">
        <v>0.1</v>
      </c>
      <c r="E10" s="8">
        <v>4</v>
      </c>
      <c r="F10" s="11">
        <f t="shared" si="0"/>
        <v>0.4</v>
      </c>
    </row>
    <row r="11" spans="1:6" ht="25.5">
      <c r="A11" s="5">
        <v>7</v>
      </c>
      <c r="B11" s="3" t="s">
        <v>136</v>
      </c>
      <c r="C11" s="5" t="s">
        <v>134</v>
      </c>
      <c r="D11" s="6">
        <v>0.15</v>
      </c>
      <c r="E11" s="5">
        <v>4</v>
      </c>
      <c r="F11" s="7">
        <f t="shared" si="0"/>
        <v>0.6</v>
      </c>
    </row>
    <row r="12" spans="1:6">
      <c r="A12" s="12"/>
      <c r="B12" s="13" t="s">
        <v>137</v>
      </c>
      <c r="C12" s="12"/>
      <c r="D12" s="14">
        <f>SUM(D5:D11)</f>
        <v>1</v>
      </c>
      <c r="E12" s="12"/>
      <c r="F12" s="12"/>
    </row>
    <row r="13" spans="1:6">
      <c r="A13" s="12"/>
      <c r="B13" s="13" t="s">
        <v>138</v>
      </c>
      <c r="C13" s="12"/>
      <c r="D13" s="12"/>
      <c r="E13" s="12"/>
      <c r="F13" s="15">
        <f>SUM(F5:F11)/D12</f>
        <v>4.1500000000000004</v>
      </c>
    </row>
    <row r="16" spans="1:6" ht="15.75" customHeight="1">
      <c r="A16" s="92" t="s">
        <v>139</v>
      </c>
      <c r="B16" s="69"/>
      <c r="C16" s="69"/>
      <c r="D16" s="69"/>
      <c r="E16" s="69"/>
      <c r="F16" s="69"/>
    </row>
    <row r="17" spans="1:6">
      <c r="A17" s="94" t="s">
        <v>140</v>
      </c>
      <c r="B17" s="69"/>
      <c r="C17" s="69"/>
      <c r="D17" s="94" t="s">
        <v>141</v>
      </c>
      <c r="E17" s="69"/>
      <c r="F17" s="69"/>
    </row>
    <row r="18" spans="1:6">
      <c r="A18" s="93" t="s">
        <v>142</v>
      </c>
      <c r="B18" s="69"/>
      <c r="C18" s="69"/>
      <c r="D18" s="93" t="s">
        <v>143</v>
      </c>
      <c r="E18" s="69"/>
      <c r="F18" s="69"/>
    </row>
    <row r="19" spans="1:6">
      <c r="A19" s="93" t="s">
        <v>144</v>
      </c>
      <c r="B19" s="69"/>
      <c r="C19" s="69"/>
      <c r="D19" s="93" t="s">
        <v>145</v>
      </c>
      <c r="E19" s="69"/>
      <c r="F19" s="69"/>
    </row>
    <row r="20" spans="1:6">
      <c r="A20" s="93" t="s">
        <v>146</v>
      </c>
      <c r="B20" s="69"/>
      <c r="C20" s="69"/>
      <c r="D20" s="93" t="s">
        <v>147</v>
      </c>
      <c r="E20" s="69"/>
      <c r="F20" s="69"/>
    </row>
    <row r="21" spans="1:6">
      <c r="A21" s="93" t="s">
        <v>148</v>
      </c>
      <c r="B21" s="69"/>
      <c r="C21" s="69"/>
      <c r="D21" s="93" t="s">
        <v>149</v>
      </c>
      <c r="E21" s="69"/>
      <c r="F21" s="69"/>
    </row>
    <row r="22" spans="1:6">
      <c r="A22" s="93" t="s">
        <v>150</v>
      </c>
      <c r="B22" s="69"/>
      <c r="C22" s="69"/>
      <c r="D22" s="93" t="s">
        <v>151</v>
      </c>
      <c r="E22" s="69"/>
      <c r="F22" s="69"/>
    </row>
    <row r="23" spans="1:6">
      <c r="A23" s="93" t="s">
        <v>152</v>
      </c>
      <c r="B23" s="69"/>
      <c r="C23" s="69"/>
      <c r="D23" s="93" t="s">
        <v>153</v>
      </c>
      <c r="E23" s="69"/>
      <c r="F23" s="69"/>
    </row>
    <row r="24" spans="1:6">
      <c r="A24" s="93" t="s">
        <v>154</v>
      </c>
      <c r="B24" s="69"/>
      <c r="C24" s="69"/>
      <c r="D24" s="93" t="s">
        <v>155</v>
      </c>
      <c r="E24" s="69"/>
      <c r="F24" s="69"/>
    </row>
    <row r="25" spans="1:6">
      <c r="A25" s="93" t="s">
        <v>156</v>
      </c>
      <c r="B25" s="69"/>
      <c r="C25" s="69"/>
      <c r="D25" s="93" t="s">
        <v>157</v>
      </c>
      <c r="E25" s="69"/>
      <c r="F25" s="69"/>
    </row>
    <row r="26" spans="1:6">
      <c r="A26" s="93" t="s">
        <v>158</v>
      </c>
      <c r="B26" s="69"/>
      <c r="C26" s="69"/>
      <c r="D26" s="93" t="s">
        <v>159</v>
      </c>
      <c r="E26" s="69"/>
      <c r="F26" s="69"/>
    </row>
    <row r="27" spans="1:6">
      <c r="A27" s="93" t="s">
        <v>160</v>
      </c>
      <c r="B27" s="69"/>
      <c r="C27" s="69"/>
      <c r="D27" s="93" t="s">
        <v>161</v>
      </c>
      <c r="E27" s="69"/>
      <c r="F27" s="69"/>
    </row>
    <row r="28" spans="1:6">
      <c r="A28" s="93" t="s">
        <v>162</v>
      </c>
      <c r="B28" s="69"/>
      <c r="C28" s="69"/>
      <c r="D28" s="93" t="s">
        <v>163</v>
      </c>
      <c r="E28" s="69"/>
      <c r="F28" s="69"/>
    </row>
    <row r="29" spans="1:6">
      <c r="A29" s="93" t="s">
        <v>164</v>
      </c>
      <c r="B29" s="69"/>
      <c r="C29" s="69"/>
      <c r="D29" s="93" t="s">
        <v>165</v>
      </c>
      <c r="E29" s="69"/>
      <c r="F29" s="69"/>
    </row>
    <row r="30" spans="1:6">
      <c r="A30" s="93" t="s">
        <v>166</v>
      </c>
      <c r="B30" s="69"/>
      <c r="C30" s="69"/>
      <c r="D30" s="93"/>
      <c r="E30" s="69"/>
      <c r="F30" s="69"/>
    </row>
  </sheetData>
  <mergeCells count="30">
    <mergeCell ref="A29:C29"/>
    <mergeCell ref="D29:F29"/>
    <mergeCell ref="A30:C30"/>
    <mergeCell ref="D30:F30"/>
    <mergeCell ref="A26:C26"/>
    <mergeCell ref="D26:F26"/>
    <mergeCell ref="A27:C27"/>
    <mergeCell ref="D27:F27"/>
    <mergeCell ref="A28:C28"/>
    <mergeCell ref="D28:F28"/>
    <mergeCell ref="A1:F2"/>
    <mergeCell ref="A22:C22"/>
    <mergeCell ref="A17:C17"/>
    <mergeCell ref="D18:F18"/>
    <mergeCell ref="D25:F25"/>
    <mergeCell ref="A20:C20"/>
    <mergeCell ref="D24:F24"/>
    <mergeCell ref="A19:C19"/>
    <mergeCell ref="D23:F23"/>
    <mergeCell ref="D20:F20"/>
    <mergeCell ref="A24:C24"/>
    <mergeCell ref="D19:F19"/>
    <mergeCell ref="D22:F22"/>
    <mergeCell ref="D21:F21"/>
    <mergeCell ref="A16:F16"/>
    <mergeCell ref="A25:C25"/>
    <mergeCell ref="A18:C18"/>
    <mergeCell ref="D17:F17"/>
    <mergeCell ref="A21:C21"/>
    <mergeCell ref="A23:C23"/>
  </mergeCells>
  <dataValidations count="2">
    <dataValidation type="list" sqref="C5 C6 C7 C8 C9 C10 C11" xr:uid="{00000000-0002-0000-0300-000000000000}">
      <formula1>"نتیجه,تلاش"</formula1>
    </dataValidation>
    <dataValidation type="whole" errorTitle="خطای ورود داده" error="امتیاز باید عددی بین ۱ تا ۵ باشد." sqref="D5 D6 D7 D8 D9 D10 E5 E6 E7 E8 E9 E10 E11" xr:uid="{00000000-0002-0000-0300-000001000000}">
      <formula1>1</formula1>
      <formula2>5</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2"/>
  <sheetViews>
    <sheetView rightToLeft="1" workbookViewId="0">
      <selection activeCell="B6" sqref="B6"/>
    </sheetView>
  </sheetViews>
  <sheetFormatPr defaultRowHeight="15"/>
  <cols>
    <col min="1" max="1" width="5.42578125" bestFit="1" customWidth="1"/>
    <col min="2" max="2" width="39.5703125" customWidth="1"/>
    <col min="3" max="3" width="8.5703125" bestFit="1" customWidth="1"/>
    <col min="4" max="4" width="11" bestFit="1" customWidth="1"/>
    <col min="5" max="5" width="10.5703125" bestFit="1" customWidth="1"/>
  </cols>
  <sheetData>
    <row r="1" spans="1:5">
      <c r="A1" s="74" t="s">
        <v>167</v>
      </c>
      <c r="B1" s="69"/>
      <c r="C1" s="69"/>
      <c r="D1" s="69"/>
      <c r="E1" s="69"/>
    </row>
    <row r="2" spans="1:5">
      <c r="A2" s="69"/>
      <c r="B2" s="69"/>
      <c r="C2" s="69"/>
      <c r="D2" s="69"/>
      <c r="E2" s="69"/>
    </row>
    <row r="4" spans="1:5">
      <c r="A4" s="4" t="s">
        <v>122</v>
      </c>
      <c r="B4" s="4" t="s">
        <v>168</v>
      </c>
      <c r="C4" s="4" t="s">
        <v>125</v>
      </c>
      <c r="D4" s="4" t="s">
        <v>126</v>
      </c>
      <c r="E4" s="4" t="s">
        <v>127</v>
      </c>
    </row>
    <row r="5" spans="1:5">
      <c r="A5" s="5">
        <v>1</v>
      </c>
      <c r="B5" s="3" t="s">
        <v>169</v>
      </c>
      <c r="C5" s="6">
        <v>0.2</v>
      </c>
      <c r="D5" s="5">
        <v>5</v>
      </c>
      <c r="E5" s="7">
        <f t="shared" ref="E5:E10" si="0">C5*D5</f>
        <v>1</v>
      </c>
    </row>
    <row r="6" spans="1:5">
      <c r="A6" s="8">
        <v>2</v>
      </c>
      <c r="B6" s="9" t="s">
        <v>170</v>
      </c>
      <c r="C6" s="10">
        <v>0.2</v>
      </c>
      <c r="D6" s="8">
        <v>5</v>
      </c>
      <c r="E6" s="11">
        <f t="shared" si="0"/>
        <v>1</v>
      </c>
    </row>
    <row r="7" spans="1:5">
      <c r="A7" s="5">
        <v>3</v>
      </c>
      <c r="B7" s="3" t="s">
        <v>171</v>
      </c>
      <c r="C7" s="6">
        <v>0.2</v>
      </c>
      <c r="D7" s="5">
        <v>5</v>
      </c>
      <c r="E7" s="7">
        <f t="shared" si="0"/>
        <v>1</v>
      </c>
    </row>
    <row r="8" spans="1:5">
      <c r="A8" s="8">
        <v>4</v>
      </c>
      <c r="B8" s="9" t="s">
        <v>219</v>
      </c>
      <c r="C8" s="10">
        <v>0.1</v>
      </c>
      <c r="D8" s="8">
        <v>4</v>
      </c>
      <c r="E8" s="11">
        <f t="shared" si="0"/>
        <v>0.4</v>
      </c>
    </row>
    <row r="9" spans="1:5">
      <c r="A9" s="5">
        <v>5</v>
      </c>
      <c r="B9" s="3" t="s">
        <v>220</v>
      </c>
      <c r="C9" s="6">
        <v>0.1</v>
      </c>
      <c r="D9" s="5">
        <v>4</v>
      </c>
      <c r="E9" s="7">
        <f t="shared" si="0"/>
        <v>0.4</v>
      </c>
    </row>
    <row r="10" spans="1:5">
      <c r="A10" s="8">
        <v>6</v>
      </c>
      <c r="B10" s="9" t="s">
        <v>172</v>
      </c>
      <c r="C10" s="10">
        <v>0.2</v>
      </c>
      <c r="D10" s="8">
        <v>3</v>
      </c>
      <c r="E10" s="11">
        <f t="shared" si="0"/>
        <v>0.60000000000000009</v>
      </c>
    </row>
    <row r="11" spans="1:5">
      <c r="A11" s="12"/>
      <c r="B11" s="13" t="s">
        <v>137</v>
      </c>
      <c r="C11" s="14">
        <f>SUM(C5:C10)</f>
        <v>1</v>
      </c>
      <c r="D11" s="12"/>
      <c r="E11" s="12"/>
    </row>
    <row r="12" spans="1:5">
      <c r="A12" s="12"/>
      <c r="B12" s="13" t="s">
        <v>173</v>
      </c>
      <c r="C12" s="12"/>
      <c r="D12" s="12"/>
      <c r="E12" s="15">
        <f>SUM(E5:E10)/C11</f>
        <v>4.4000000000000004</v>
      </c>
    </row>
  </sheetData>
  <mergeCells count="1">
    <mergeCell ref="A1:E2"/>
  </mergeCells>
  <dataValidations count="1">
    <dataValidation type="whole" errorTitle="خطای ورود داده" error="امتیاز باید عددی بین ۱ تا ۵ باشد." sqref="D5 D6 D7 D8 D9 D10 E5 E6 E7 E8 E9 E10 E11" xr:uid="{00000000-0002-0000-0400-000000000000}">
      <formula1>1</formula1>
      <formula2>5</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6"/>
  <sheetViews>
    <sheetView rightToLeft="1" topLeftCell="A4" workbookViewId="0">
      <selection activeCell="F19" sqref="F19"/>
    </sheetView>
  </sheetViews>
  <sheetFormatPr defaultRowHeight="15"/>
  <cols>
    <col min="1" max="1" width="12.42578125" style="21" customWidth="1"/>
    <col min="2" max="2" width="30" style="21" bestFit="1" customWidth="1"/>
    <col min="3" max="3" width="43.140625" style="21" bestFit="1" customWidth="1"/>
    <col min="4" max="4" width="18.42578125" style="21" bestFit="1" customWidth="1"/>
    <col min="5" max="5" width="18.85546875" style="21" bestFit="1" customWidth="1"/>
    <col min="6" max="6" width="15" style="21" customWidth="1"/>
    <col min="7" max="7" width="9.140625" style="21" customWidth="1"/>
    <col min="8" max="16384" width="9.140625" style="21"/>
  </cols>
  <sheetData>
    <row r="1" spans="1:6" ht="15" customHeight="1">
      <c r="A1" s="91" t="s">
        <v>174</v>
      </c>
      <c r="B1" s="96"/>
      <c r="C1" s="96"/>
      <c r="D1" s="96"/>
      <c r="E1" s="96"/>
      <c r="F1" s="96"/>
    </row>
    <row r="2" spans="1:6">
      <c r="A2" s="96"/>
      <c r="B2" s="96"/>
      <c r="C2" s="96"/>
      <c r="D2" s="96"/>
      <c r="E2" s="96"/>
      <c r="F2" s="96"/>
    </row>
    <row r="4" spans="1:6" ht="15" customHeight="1">
      <c r="A4" s="95" t="s">
        <v>175</v>
      </c>
      <c r="B4" s="96"/>
    </row>
    <row r="5" spans="1:6">
      <c r="A5" s="102" t="s">
        <v>176</v>
      </c>
      <c r="B5" s="72"/>
      <c r="C5" s="42" t="s">
        <v>177</v>
      </c>
    </row>
    <row r="6" spans="1:6">
      <c r="A6" s="101" t="s">
        <v>178</v>
      </c>
      <c r="B6" s="62"/>
      <c r="C6" s="43">
        <v>0.7</v>
      </c>
    </row>
    <row r="7" spans="1:6">
      <c r="A7" s="101" t="s">
        <v>179</v>
      </c>
      <c r="B7" s="62"/>
      <c r="C7" s="43">
        <v>0.3</v>
      </c>
    </row>
    <row r="8" spans="1:6">
      <c r="A8" s="101" t="s">
        <v>180</v>
      </c>
      <c r="B8" s="62"/>
      <c r="C8" s="44">
        <f>SUM(C6:C7)</f>
        <v>1</v>
      </c>
    </row>
    <row r="11" spans="1:6" ht="15" customHeight="1">
      <c r="A11" s="95" t="s">
        <v>181</v>
      </c>
      <c r="B11" s="96"/>
    </row>
    <row r="12" spans="1:6">
      <c r="A12" s="45"/>
      <c r="B12" s="45" t="s">
        <v>182</v>
      </c>
      <c r="C12" s="45" t="s">
        <v>183</v>
      </c>
      <c r="D12" s="45" t="s">
        <v>184</v>
      </c>
      <c r="E12" s="45" t="s">
        <v>185</v>
      </c>
    </row>
    <row r="13" spans="1:6">
      <c r="A13" s="103" t="s">
        <v>186</v>
      </c>
      <c r="B13" s="62"/>
      <c r="C13" s="31">
        <f>'ارزیابی عملکرد'!F13</f>
        <v>4.1500000000000004</v>
      </c>
      <c r="D13" s="46">
        <f>C13/5</f>
        <v>0.83000000000000007</v>
      </c>
      <c r="E13" s="46">
        <f>D13*C6</f>
        <v>0.58099999999999996</v>
      </c>
    </row>
    <row r="14" spans="1:6">
      <c r="A14" s="103" t="s">
        <v>187</v>
      </c>
      <c r="B14" s="62"/>
      <c r="C14" s="31">
        <f>'ارزیابی رفتار حرفه‌ای'!E12</f>
        <v>4.4000000000000004</v>
      </c>
      <c r="D14" s="46">
        <f>C14/5</f>
        <v>0.88000000000000012</v>
      </c>
      <c r="E14" s="46">
        <f>D14*C7</f>
        <v>0.26400000000000001</v>
      </c>
    </row>
    <row r="15" spans="1:6">
      <c r="A15" s="100" t="s">
        <v>70</v>
      </c>
      <c r="B15" s="62"/>
      <c r="C15" s="57" t="str">
        <f>'رویدادها و بازخوردها'!B16</f>
        <v>متوسط</v>
      </c>
      <c r="D15" s="58" t="str">
        <f>'رویدادها و بازخوردها'!D16</f>
        <v>کسر 5% امتیاز</v>
      </c>
      <c r="E15" s="58">
        <f t="array" ref="E15">_xlfn.IFS(C15="-",0%,C15="متوسط",-5%,C15="زیاد",-10%,C15="بحرانی",-(SUM(E13:E14)))</f>
        <v>-0.05</v>
      </c>
    </row>
    <row r="16" spans="1:6">
      <c r="A16" s="99" t="s">
        <v>188</v>
      </c>
      <c r="B16" s="62"/>
      <c r="C16" s="47"/>
      <c r="D16" s="48"/>
      <c r="E16" s="60">
        <f>SUM(E13:E15)</f>
        <v>0.79499999999999993</v>
      </c>
    </row>
    <row r="18" spans="1:4">
      <c r="A18" s="97" t="s">
        <v>189</v>
      </c>
      <c r="B18" s="98"/>
      <c r="C18" s="98"/>
      <c r="D18" s="98"/>
    </row>
    <row r="19" spans="1:4">
      <c r="A19" s="52" t="s">
        <v>190</v>
      </c>
      <c r="B19" s="52" t="s">
        <v>191</v>
      </c>
      <c r="C19" s="52" t="s">
        <v>192</v>
      </c>
      <c r="D19" s="52" t="s">
        <v>193</v>
      </c>
    </row>
    <row r="20" spans="1:4">
      <c r="A20" s="59">
        <v>0</v>
      </c>
      <c r="B20" s="59">
        <v>0.5</v>
      </c>
      <c r="C20" s="55" t="s">
        <v>194</v>
      </c>
      <c r="D20" s="56">
        <v>0</v>
      </c>
    </row>
    <row r="21" spans="1:4">
      <c r="A21" s="59">
        <v>0.5</v>
      </c>
      <c r="B21" s="59">
        <v>0.7</v>
      </c>
      <c r="C21" s="55" t="s">
        <v>195</v>
      </c>
      <c r="D21" s="56">
        <v>0</v>
      </c>
    </row>
    <row r="22" spans="1:4">
      <c r="A22" s="59">
        <v>0.7</v>
      </c>
      <c r="B22" s="59">
        <v>0.8</v>
      </c>
      <c r="C22" s="55" t="s">
        <v>196</v>
      </c>
      <c r="D22" s="56">
        <v>0.5</v>
      </c>
    </row>
    <row r="23" spans="1:4">
      <c r="A23" s="59">
        <v>0.8</v>
      </c>
      <c r="B23" s="59">
        <v>0.9</v>
      </c>
      <c r="C23" s="55" t="s">
        <v>197</v>
      </c>
      <c r="D23" s="56">
        <v>0.75</v>
      </c>
    </row>
    <row r="24" spans="1:4">
      <c r="A24" s="59">
        <v>0.9</v>
      </c>
      <c r="B24" s="59">
        <v>1</v>
      </c>
      <c r="C24" s="55" t="s">
        <v>198</v>
      </c>
      <c r="D24" s="56">
        <v>1</v>
      </c>
    </row>
    <row r="25" spans="1:4">
      <c r="A25" s="53"/>
      <c r="B25" s="53"/>
      <c r="C25" s="54"/>
      <c r="D25" s="53"/>
    </row>
    <row r="26" spans="1:4">
      <c r="A26" s="49"/>
      <c r="B26" s="49" t="s">
        <v>199</v>
      </c>
      <c r="C26" s="50" t="str">
        <f t="array" ref="C26">_xlfn.IFS(AND((E16&gt;=A20), (E16&lt;=B20)),C20,AND((E16&gt;A21), (E16&lt;=B21)),C21,AND((E16&gt;A22), (E16&lt;=B22)),C22,AND((E16&gt;A23), (E16&lt;=B23)),C23,E16&gt;=A24,C24)</f>
        <v>قابل قبول (Acceptable)</v>
      </c>
    </row>
  </sheetData>
  <mergeCells count="12">
    <mergeCell ref="A1:F2"/>
    <mergeCell ref="A5:B5"/>
    <mergeCell ref="A13:B13"/>
    <mergeCell ref="A14:B14"/>
    <mergeCell ref="A8:B8"/>
    <mergeCell ref="A6:B6"/>
    <mergeCell ref="A4:B4"/>
    <mergeCell ref="A18:D18"/>
    <mergeCell ref="A16:B16"/>
    <mergeCell ref="A15:B15"/>
    <mergeCell ref="A7:B7"/>
    <mergeCell ref="A11:B1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6"/>
  <sheetViews>
    <sheetView rightToLeft="1" workbookViewId="0">
      <selection activeCell="F25" sqref="F25"/>
    </sheetView>
  </sheetViews>
  <sheetFormatPr defaultRowHeight="15"/>
  <cols>
    <col min="1" max="1" width="35" bestFit="1" customWidth="1"/>
    <col min="2" max="2" width="16.7109375" bestFit="1" customWidth="1"/>
    <col min="3" max="3" width="15" customWidth="1"/>
    <col min="4" max="4" width="19.42578125" bestFit="1" customWidth="1"/>
    <col min="5" max="5" width="6.28515625" bestFit="1" customWidth="1"/>
    <col min="6" max="6" width="19.85546875" customWidth="1"/>
  </cols>
  <sheetData>
    <row r="1" spans="1:6">
      <c r="A1" s="74" t="s">
        <v>200</v>
      </c>
      <c r="B1" s="69"/>
      <c r="C1" s="69"/>
      <c r="D1" s="69"/>
      <c r="E1" s="69"/>
      <c r="F1" s="69"/>
    </row>
    <row r="2" spans="1:6">
      <c r="A2" s="69"/>
      <c r="B2" s="69"/>
      <c r="C2" s="69"/>
      <c r="D2" s="69"/>
      <c r="E2" s="69"/>
      <c r="F2" s="69"/>
    </row>
    <row r="4" spans="1:6">
      <c r="A4" s="2" t="s">
        <v>201</v>
      </c>
      <c r="B4" s="16" t="str">
        <f>'پروفایل و توافق عملکرد'!B4</f>
        <v>محمد حسینی</v>
      </c>
      <c r="D4" s="2" t="s">
        <v>11</v>
      </c>
      <c r="E4" s="104" t="str">
        <f>'پروفایل و توافق عملکرد'!E6</f>
        <v>فصل اول 1405 (یا فروردین 1405)</v>
      </c>
      <c r="F4" s="69"/>
    </row>
    <row r="5" spans="1:6">
      <c r="A5" s="2" t="s">
        <v>202</v>
      </c>
      <c r="B5" s="17">
        <f>'موتور امتیازدهی و خلاصه'!D13</f>
        <v>0.83000000000000007</v>
      </c>
      <c r="D5" s="2" t="s">
        <v>203</v>
      </c>
      <c r="E5" s="107">
        <f>'موتور امتیازدهی و خلاصه'!D14</f>
        <v>0.88000000000000012</v>
      </c>
      <c r="F5" s="69"/>
    </row>
    <row r="6" spans="1:6">
      <c r="A6" s="2" t="s">
        <v>204</v>
      </c>
      <c r="B6" s="18">
        <f>'موتور امتیازدهی و خلاصه'!E16</f>
        <v>0.79499999999999993</v>
      </c>
      <c r="D6" s="2" t="s">
        <v>199</v>
      </c>
      <c r="E6" s="104" t="str">
        <f>'موتور امتیازدهی و خلاصه'!C26</f>
        <v>قابل قبول (Acceptable)</v>
      </c>
      <c r="F6" s="69"/>
    </row>
    <row r="8" spans="1:6" ht="15.75" customHeight="1">
      <c r="A8" s="1" t="s">
        <v>205</v>
      </c>
    </row>
    <row r="9" spans="1:6">
      <c r="A9" t="s">
        <v>206</v>
      </c>
      <c r="B9" s="19">
        <f>'پروفایل و توافق عملکرد'!E7</f>
        <v>5000000</v>
      </c>
    </row>
    <row r="10" spans="1:6">
      <c r="A10" t="s">
        <v>207</v>
      </c>
      <c r="B10" s="20">
        <f>IF(B6&lt;0.6,0,IF(B6&lt;0.75,0.5,IF(B6&lt;0.9,0.75,1)))</f>
        <v>0.75</v>
      </c>
    </row>
    <row r="11" spans="1:6" ht="19.5" customHeight="1">
      <c r="A11" t="s">
        <v>208</v>
      </c>
      <c r="B11" s="28">
        <f>B9*B10</f>
        <v>3750000</v>
      </c>
    </row>
    <row r="13" spans="1:6" ht="15.75" customHeight="1">
      <c r="A13" s="1" t="s">
        <v>209</v>
      </c>
    </row>
    <row r="14" spans="1:6">
      <c r="A14" s="2" t="s">
        <v>210</v>
      </c>
      <c r="B14" s="105" t="s">
        <v>211</v>
      </c>
      <c r="C14" s="106"/>
      <c r="D14" s="106"/>
      <c r="E14" s="106"/>
      <c r="F14" s="62"/>
    </row>
    <row r="15" spans="1:6">
      <c r="A15" s="2" t="s">
        <v>212</v>
      </c>
      <c r="B15" s="105" t="s">
        <v>213</v>
      </c>
      <c r="C15" s="106"/>
      <c r="D15" s="106"/>
      <c r="E15" s="106"/>
      <c r="F15" s="62"/>
    </row>
    <row r="16" spans="1:6">
      <c r="A16" s="2" t="s">
        <v>214</v>
      </c>
      <c r="B16" s="105" t="s">
        <v>215</v>
      </c>
      <c r="C16" s="106"/>
      <c r="D16" s="106"/>
      <c r="E16" s="106"/>
      <c r="F16" s="62"/>
    </row>
  </sheetData>
  <mergeCells count="7">
    <mergeCell ref="E4:F4"/>
    <mergeCell ref="E6:F6"/>
    <mergeCell ref="B16:F16"/>
    <mergeCell ref="B15:F15"/>
    <mergeCell ref="A1:F2"/>
    <mergeCell ref="E5:F5"/>
    <mergeCell ref="B14:F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راهنما و توضیحات </vt:lpstr>
      <vt:lpstr>پروفایل و توافق عملکرد</vt:lpstr>
      <vt:lpstr>رویدادها و بازخوردها</vt:lpstr>
      <vt:lpstr>ارزیابی عملکرد</vt:lpstr>
      <vt:lpstr>ارزیابی رفتار حرفه‌ای</vt:lpstr>
      <vt:lpstr>موتور امتیازدهی و خلاصه</vt:lpstr>
      <vt:lpstr>خروجی و نتایج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Ghabeli</cp:lastModifiedBy>
  <cp:lastPrinted>2026-06-19T15:17:05Z</cp:lastPrinted>
  <dcterms:created xsi:type="dcterms:W3CDTF">2026-06-19T15:04:54Z</dcterms:created>
  <dcterms:modified xsi:type="dcterms:W3CDTF">2026-06-20T10:23:15Z</dcterms:modified>
</cp:coreProperties>
</file>