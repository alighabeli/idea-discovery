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ghabe\Desktop\"/>
    </mc:Choice>
  </mc:AlternateContent>
  <xr:revisionPtr revIDLastSave="0" documentId="13_ncr:1_{478CF40E-01AA-401F-88B2-274326497049}" xr6:coauthVersionLast="47" xr6:coauthVersionMax="47" xr10:uidLastSave="{00000000-0000-0000-0000-000000000000}"/>
  <bookViews>
    <workbookView xWindow="-105" yWindow="0" windowWidth="14610" windowHeight="15585" xr2:uid="{00000000-000D-0000-FFFF-FFFF00000000}"/>
  </bookViews>
  <sheets>
    <sheet name="راهنما و توضیحات " sheetId="8" r:id="rId1"/>
    <sheet name="پروفایل و توافق عملکرد" sheetId="2" r:id="rId2"/>
    <sheet name="رویدادها و بازخوردها" sheetId="7" r:id="rId3"/>
    <sheet name="ارزیابی عملکرد" sheetId="3" r:id="rId4"/>
    <sheet name="ارزیابی رفتار حرفه‌ای" sheetId="4" r:id="rId5"/>
    <sheet name="موتور امتیازدهی و خلاصه" sheetId="5" r:id="rId6"/>
    <sheet name="خروجی و نتایج" sheetId="6" r:id="rId7"/>
  </sheets>
  <definedNames>
    <definedName name="_xlnm._FilterDatabase" localSheetId="2" hidden="1">'رویدادها و بازخوردها'!$A$6:$E$11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6" l="1"/>
  <c r="C15" i="5"/>
  <c r="D16" i="7" a="1"/>
  <c r="D16" i="7" s="1"/>
  <c r="D15" i="5" s="1"/>
  <c r="B9" i="6"/>
  <c r="B4" i="6"/>
  <c r="C8" i="5"/>
  <c r="C11" i="4"/>
  <c r="E12" i="4" s="1"/>
  <c r="C14" i="5" s="1"/>
  <c r="D14" i="5" s="1"/>
  <c r="E10" i="4"/>
  <c r="E9" i="4"/>
  <c r="E8" i="4"/>
  <c r="E7" i="4"/>
  <c r="E6" i="4"/>
  <c r="E5" i="4"/>
  <c r="D12" i="3"/>
  <c r="F13" i="3" s="1"/>
  <c r="C13" i="5" s="1"/>
  <c r="D13" i="5" s="1"/>
  <c r="F11" i="3"/>
  <c r="F10" i="3"/>
  <c r="F9" i="3"/>
  <c r="F8" i="3"/>
  <c r="F7" i="3"/>
  <c r="F6" i="3"/>
  <c r="F5" i="3"/>
  <c r="E15" i="5" l="1" a="1"/>
  <c r="E15" i="5" s="1"/>
  <c r="E14" i="5"/>
  <c r="E5" i="6"/>
  <c r="B5" i="6"/>
  <c r="E13" i="5"/>
  <c r="E16" i="5" l="1"/>
  <c r="C26" i="5" s="1" a="1"/>
  <c r="C26" i="5" s="1"/>
  <c r="E6" i="6" l="1"/>
  <c r="B6" i="6"/>
  <c r="B10" i="6" s="1"/>
  <c r="B11" i="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<sst xmlns="http://schemas.openxmlformats.org/spreadsheetml/2006/main" count="258" uniqueCount="233">
  <si>
    <t>۲. فلسفه ارزیابی</t>
  </si>
  <si>
    <t>این ابزار عملکرد را از ۳ جنبه مکمل بررسی می‌کند:</t>
  </si>
  <si>
    <t xml:space="preserve">   • نتایج (Results)</t>
  </si>
  <si>
    <t>تحقق اهداف کمی و کیفی ملموس خزانه‌داری (مانند صحت مغایرت‌ها و دقت پرداخت‌ها)</t>
  </si>
  <si>
    <t xml:space="preserve">   • تلاش و اجرا (Execution)</t>
  </si>
  <si>
    <t>نظم، پیگیری و کیفیت فرآیند اجرای امور روزمره</t>
  </si>
  <si>
    <t xml:space="preserve">   • رفتار حرفه‌ای (Behavior)</t>
  </si>
  <si>
    <t>پایبندی به ارزش‌ها، مسئولیت‌پذیری و حفظ محرمانگی مالی</t>
  </si>
  <si>
    <t>۳. مقیاس امتیازدهی</t>
  </si>
  <si>
    <t>۱ = بسیار ضعیف | ۲ = ضعیف | ۳ = قابل قبول | ۴ = خوب | ۵ = عالی</t>
  </si>
  <si>
    <t>۴. توصیه‌های طراحی ارزیابی</t>
  </si>
  <si>
    <t>برای افزایش دقت، پیشنهاد می‌شود حداکثر ۸ شاخص عملکرد (شیت ۳) و ۵ شاخص رفتاری (شیت ۴) انتخاب و وزن‌دهی شوند. تمرکز بر شاخص‌های کمتر و کلیدی‌تر، اثربخشی ارزیابی را بالا می‌برد.</t>
  </si>
  <si>
    <t>• حق کسر صندوق بخشی از مزایای شغلی جبران ریسک است و پاداش عملکرد محسوب نمی‌شود.
• پاداش بستن حساب‌ها مجزا بوده و باید در تعیین پاداش هدف لحاظ گردد.
• ارزیابی خزانه‌دار نباید صرفاً بر مبنای «نبود خطا» باشد، بلکه تلاش و بهبود فرآیندها نیز اهمیت بالایی دارد.
• مسئولیت‌پذیری مالی و محرمانگی، حیاتی‌ترین فاکتورهای این سمت هستند.</t>
  </si>
  <si>
    <t>پروفایل پرسنلی و توافق‌نامه عملکرد خزانه‌داری</t>
  </si>
  <si>
    <t>نام و نام خانوادگی شاغل:</t>
  </si>
  <si>
    <t>محمد حسینی</t>
  </si>
  <si>
    <t>10405</t>
  </si>
  <si>
    <t>عنوان شغلی:</t>
  </si>
  <si>
    <t>خزانه‌دار ارشد</t>
  </si>
  <si>
    <t>واحد سازمانی:</t>
  </si>
  <si>
    <t>امور مالی</t>
  </si>
  <si>
    <t>نام و سمت ارزیاب:</t>
  </si>
  <si>
    <t>علیرضا رضایی (مدیر مالی)</t>
  </si>
  <si>
    <t>دوره ارزیابی:</t>
  </si>
  <si>
    <t>متن توافق‌نامه عملکرد</t>
  </si>
  <si>
    <t>شاغل و ارزیاب توافق می‌نمایند که شاخص‌های انتخاب‌شده، وزن هر شاخص و انتظارات عملکردی این دوره به صورت شفاف بررسی و مورد توافق قرار گرفته است. تغییرات در طول دوره تنها با توافق مکتوب طرفین معتبر است.</t>
  </si>
  <si>
    <t>امضای شاغل:</t>
  </si>
  <si>
    <t>امضای ارزیاب:</t>
  </si>
  <si>
    <t>تاریخ:</t>
  </si>
  <si>
    <t>جدول ارزیابی شاخص‌های عملکردی (نتایج و تلاش)</t>
  </si>
  <si>
    <t>ردیف</t>
  </si>
  <si>
    <t>شاخص عملکرد</t>
  </si>
  <si>
    <t>نوع شاخص</t>
  </si>
  <si>
    <t>وزن (%)</t>
  </si>
  <si>
    <t>امتیاز (۱-۵)</t>
  </si>
  <si>
    <t>امتیاز وزنی</t>
  </si>
  <si>
    <t>دقت پرداخت‌ها و حواله‌های بانکی</t>
  </si>
  <si>
    <t>نتیجه</t>
  </si>
  <si>
    <t>کنترل مغایرت‌های مالی و بانکی</t>
  </si>
  <si>
    <t>به‌موقع بودن گزارش‌های خزانه‌داری</t>
  </si>
  <si>
    <t>تطابق مانده حساب‌ها با دفاتر</t>
  </si>
  <si>
    <t>رعایت دقیق فرآیندها و آیین‌نامه‌ها</t>
  </si>
  <si>
    <t>تلاش</t>
  </si>
  <si>
    <t>نظم در مستندسازی و بایگانی اسناد</t>
  </si>
  <si>
    <t>پیگیری سریع امور مالی و بانکی</t>
  </si>
  <si>
    <t>مجموع وزن‌ها</t>
  </si>
  <si>
    <t>میانگین وزنی عملکرد (از ۵)</t>
  </si>
  <si>
    <t>بانک شاخص‌های پیشنهادی خزانه‌داری</t>
  </si>
  <si>
    <t>شاخص‌های نتیجه (قابل کپی به جدول بالا)</t>
  </si>
  <si>
    <t>شاخص‌های تلاش (قابل کپی به جدول بالا)</t>
  </si>
  <si>
    <t>دقت پرداخت‌ها</t>
  </si>
  <si>
    <t>پیگیری امور مالی</t>
  </si>
  <si>
    <t>بستن حساب‌ها</t>
  </si>
  <si>
    <t>رعایت فرآیندها</t>
  </si>
  <si>
    <t>کیفیت گزارش‌های مالی</t>
  </si>
  <si>
    <t>نظم در مستندسازی</t>
  </si>
  <si>
    <t>کنترل مغایرت‌ها</t>
  </si>
  <si>
    <t>دقت در بررسی اسناد</t>
  </si>
  <si>
    <t>صحت ثبت تراکنش‌ها</t>
  </si>
  <si>
    <t>همکاری با واحد حسابداری</t>
  </si>
  <si>
    <t>تطابق مانده حساب‌ها</t>
  </si>
  <si>
    <t>پاسخگویی به درخواست‌ها</t>
  </si>
  <si>
    <t>به‌موقع بودن گزارش‌ها</t>
  </si>
  <si>
    <t>پیگیری مغایرت‌ها</t>
  </si>
  <si>
    <t>کاهش مغایرت‌های مالی</t>
  </si>
  <si>
    <t>آمادگی در زمان‌های اوج کاری</t>
  </si>
  <si>
    <t>جدول ارزیابی شاخص‌های رفتاری خزانه‌دار</t>
  </si>
  <si>
    <t>شاخص رفتاری</t>
  </si>
  <si>
    <t>مسئولیت‌پذیری مالی و تعهد شغلی</t>
  </si>
  <si>
    <t>نظم، انضباط و حضور به‌موقع</t>
  </si>
  <si>
    <t>پاسخگویی و همکاری با سایر واحدها</t>
  </si>
  <si>
    <t>میانگین وزنی رفتار (از ۵)</t>
  </si>
  <si>
    <t>سیستم وزن‌دهی کلان و موتور محاسبات نهایی</t>
  </si>
  <si>
    <t>بخش ارزیابی</t>
  </si>
  <si>
    <t>وزن اختصاصی</t>
  </si>
  <si>
    <t>وزن عملکرد (نتایج و تلاش)</t>
  </si>
  <si>
    <t>وزن رفتار حرفه‌ای</t>
  </si>
  <si>
    <t>مجموع وزن‌های کلان</t>
  </si>
  <si>
    <t>بخش</t>
  </si>
  <si>
    <t>میانگین وزنی اولیه (۱-۵)</t>
  </si>
  <si>
    <t>تبدیل به درصد (٪)</t>
  </si>
  <si>
    <t>سهم در امتیاز نهایی</t>
  </si>
  <si>
    <t>عملکرد (شیت ۳)</t>
  </si>
  <si>
    <t>رفتار حرفه‌ای (شیت ۴)</t>
  </si>
  <si>
    <t>امتیاز نهایی کل (درصد)</t>
  </si>
  <si>
    <t>سطح عملکرد نهایی:</t>
  </si>
  <si>
    <t>داشبورد نهایی و فرم محاسبه پاداش خزانه‌دار</t>
  </si>
  <si>
    <t>نام شاغل:</t>
  </si>
  <si>
    <t>امتیاز عملکرد (٪):</t>
  </si>
  <si>
    <t>امتیاز رفتار (٪):</t>
  </si>
  <si>
    <t>امتیاز کل نهایی:</t>
  </si>
  <si>
    <t>محاسبه مالی پاداش پایان دوره</t>
  </si>
  <si>
    <t>مبلغ پاداش هدف (Target Bonus):</t>
  </si>
  <si>
    <t>ضریب پاداش عملکرد:</t>
  </si>
  <si>
    <t>پاداش قابل پرداخت نهایی:</t>
  </si>
  <si>
    <t>جمع‌بندی و دیدگاه ارزیاب</t>
  </si>
  <si>
    <t>نقاط قوت شاغل:</t>
  </si>
  <si>
    <t>دقت فوق‌العاده در ثبت پرداخت‌ها و بستن بدون مغایرت حساب‌ها در سررسید.</t>
  </si>
  <si>
    <t>زمینه‌های بهبود:</t>
  </si>
  <si>
    <t>تقویت مدیریت استرس و حفظ آرامش حرفه‌ای در روزهای اوج کاری پایان ماه.</t>
  </si>
  <si>
    <t>تصمیم نهایی مدیر:</t>
  </si>
  <si>
    <t>پرداخت کامل پاداش به همراه تمدید قرارداد دوره آتی.</t>
  </si>
  <si>
    <t>مبلغ ناخالص پاداش هدف (تومان):</t>
  </si>
  <si>
    <t>فصل اول 1405 (یا فروردین 1405)</t>
  </si>
  <si>
    <t>نام راهنما (منتور):</t>
  </si>
  <si>
    <t>در حال بررسی</t>
  </si>
  <si>
    <t>بررسی حجم کاری در دستور کار است.</t>
  </si>
  <si>
    <t>به دلیل حجم بالای بستن حساب‌ها و فشار کاری</t>
  </si>
  <si>
    <t>درخواست نیروی کمکی در هفته اول ماه</t>
  </si>
  <si>
    <t>1405/02/18</t>
  </si>
  <si>
    <t>تایید شده</t>
  </si>
  <si>
    <t>موافقت شد، در برنامه فصلی قرار گیرد.</t>
  </si>
  <si>
    <t>برای افزایش سرعت گزارش‌گیری نقدینگی</t>
  </si>
  <si>
    <t>درخواست آموزش نرم‌افزار اکسل پیشرفته</t>
  </si>
  <si>
    <t>1405/01/20</t>
  </si>
  <si>
    <t>وضعیت</t>
  </si>
  <si>
    <t>نظر مدیر / ارزیاب</t>
  </si>
  <si>
    <t>توضیحات تکمیلی شاغل</t>
  </si>
  <si>
    <t>درخواست یا پیشنهاد شاغل</t>
  </si>
  <si>
    <t>تاریخ</t>
  </si>
  <si>
    <t>شاغل می‌تواند درخواست‌ها، نیازها، پیشنهادها یا موانع موثر بر عملکرد خود را در این بخش ثبت نماید.</t>
  </si>
  <si>
    <t>درخواست‌ها و پیشنهادهای شاغل</t>
  </si>
  <si>
    <t>• مشارکت در پروژه‌های استراتژیک مالی</t>
  </si>
  <si>
    <t>• ادغام یا تفکیک بهینه وظایف</t>
  </si>
  <si>
    <t>• بازطراحی و اصلاح فرآیندهای مالی</t>
  </si>
  <si>
    <t>• اختصاص نیروی کمکی در زمان اوج کاری</t>
  </si>
  <si>
    <t>• اعطای کارت هدیه یا مرخصی تشویقی</t>
  </si>
  <si>
    <t>• تشویق رسمی در جلسه عمومی</t>
  </si>
  <si>
    <t>• افزایش مسئولیت و اعطای اختیارات بیشتر</t>
  </si>
  <si>
    <t>• کاهش وظایف کم‌ارزش و موازی</t>
  </si>
  <si>
    <t>• منتورینگ تخصصی توسط مدیر مالی</t>
  </si>
  <si>
    <t>• ارتقای سیستم کامپیوتری و نرم‌افزار</t>
  </si>
  <si>
    <t>• ارتقای تجهیزات کاری (مانیتور دوم)</t>
  </si>
  <si>
    <t>• شرکت در دوره آموزشی تخصصی</t>
  </si>
  <si>
    <t>💡 بانک ایده‌های توسعه‌ای خزانه‌داری (مرجع ایده)</t>
  </si>
  <si>
    <t>ثبت شده</t>
  </si>
  <si>
    <t>کاهش وظایف کم‌ارزش و روتین تنخواه از طریق تفکیک وظایف جدید</t>
  </si>
  <si>
    <t>مدیر مالی</t>
  </si>
  <si>
    <t>کم</t>
  </si>
  <si>
    <t>اختصاص مانیتور دوم جهت تسهیل کنترل همزمان مغایرت‌های بانکی و دفاتر</t>
  </si>
  <si>
    <t>پشتیبانی / IT</t>
  </si>
  <si>
    <t>زیاد</t>
  </si>
  <si>
    <t>شرکت در دوره آموزشی پیشرفته مدیریت نقدینگی و خزانه‌داری</t>
  </si>
  <si>
    <t>منابع انسانی</t>
  </si>
  <si>
    <t>متوسط</t>
  </si>
  <si>
    <t>پیشنهاد توسعه‌ای</t>
  </si>
  <si>
    <t>مسئول پیگیری</t>
  </si>
  <si>
    <t>اولویت</t>
  </si>
  <si>
    <t>در این بخش ارزیاب می‌تواند پیشنهادهایی برای توسعه فرد، بهبود عملکرد، افزایش انگیزه یا بهبود شرایط کاری ثبت نماید.</t>
  </si>
  <si>
    <t>پیشنهادهای توسعه و بهبود (توسط ارزیاب)</t>
  </si>
  <si>
    <t>در حال بررسی توسط واحد IT</t>
  </si>
  <si>
    <t>خزانه‌دار</t>
  </si>
  <si>
    <t>ارائه پیشنهاد اتوماسیون فرم تنخواه‌گردان شرکت</t>
  </si>
  <si>
    <t>پیشنهاد بهبود</t>
  </si>
  <si>
    <t>1405/03/12</t>
  </si>
  <si>
    <t>بازبینی فرآیند و آموزش مجدد</t>
  </si>
  <si>
    <t>عدم رعایت دقیق فرآیند پرداخت در یکی از حواله‌های فرعی</t>
  </si>
  <si>
    <t>قابل توجه</t>
  </si>
  <si>
    <t>1405/03/02</t>
  </si>
  <si>
    <t>ثبت در سوابق درخشان</t>
  </si>
  <si>
    <t>سرپرست حسابداری</t>
  </si>
  <si>
    <t>همکاری موثر با واحد حسابداری جهت رفع مغایرت‌های سنواتی</t>
  </si>
  <si>
    <t>مثبت</t>
  </si>
  <si>
    <t>1405/02/20</t>
  </si>
  <si>
    <t>تذکر حمایتی برای مدیریت زمان</t>
  </si>
  <si>
    <t>تاخیر در ارائه گزارش روزانه نقدینگی به مدت ۳ روز متوالی</t>
  </si>
  <si>
    <t>منفی</t>
  </si>
  <si>
    <t>1405/02/05</t>
  </si>
  <si>
    <t>تقدیر شفاهی در جلسه واحد</t>
  </si>
  <si>
    <t>بستن حساب ماهانه بدون مغایرت و قبل از موعد مقرر</t>
  </si>
  <si>
    <t>1405/01/15</t>
  </si>
  <si>
    <t>بازخورد / اقدام</t>
  </si>
  <si>
    <t>ثبت کننده</t>
  </si>
  <si>
    <t>شرح رویداد</t>
  </si>
  <si>
    <t>نوع رویداد</t>
  </si>
  <si>
    <t>در طول دوره، رویدادهای مثبت، منفی یا قابل توجه مرتبط با عملکرد شاغل در این بخش ثبت می‌شوند تا ارزیابی نهایی بر مبنای شواهد واقعی انجام شود.</t>
  </si>
  <si>
    <t>ثبت رویدادها و بازخوردهای دوره</t>
  </si>
  <si>
    <t>گام ۱: تکمیل اطلاعات در شیت پروفایل
گام ۲: امتیازدهی شاخص‌های عملکرد و رفتار در شیت‌های ۳ و ۴
گام ۳: ثبت هرگونه شواهد یا رویداد بحرانی در شیت رویدادها و بازخوردها
گام ۴: مشاهده خودکار خروجی، سقف امتیاز و مبلغ پاداش در شیت موتور امتیازدهی و داشبورد نهایی.</t>
  </si>
  <si>
    <t>9. گام‌های کاربری بسیار سریع</t>
  </si>
  <si>
    <t>8. نکات اختصاصی خزانه‌داری</t>
  </si>
  <si>
    <t>7. قانون حاکم بر ثبت رویدادهای بحرانی</t>
  </si>
  <si>
    <t>6. منطق و اثرگذاری درجات Red Flag</t>
  </si>
  <si>
    <t>مکانیزم Red Flag یک سیستم کنترلی و هوشمند برای رویدادهای بحرانی است. هدف این بخش مستقل از شاخص‌های عادی، اصلاح شدیدترین خطاهای رفتاری، فرآیندی یا مالی است تا از بی‌اثر شدن خطاهای بزرگ در میان امتیازهای مثبت جلوگیری کند.</t>
  </si>
  <si>
    <t>5. معرفی مکانیزم استثنایی رویدادهای بحرانی (Red Flag)</t>
  </si>
  <si>
    <t>این ابزار برای استفاده سریع مدیران طراحی شده تا کل فرآیند ارزیابی در زمانی کوتاه قابل انجام باشد. سیستم، عملکرد را از ۳ جنبه نتایج (Results)، تلاش (Execution) و رفتار حرفه‌ای (Behavior) بررسی می‌کند.</t>
  </si>
  <si>
    <t>۱. معرفی سیستم</t>
  </si>
  <si>
    <t>راهنمای جامع سیستم ارزیابی عملکرد و پاداش خزانه‌داری (با مکانیزم Red Flag)</t>
  </si>
  <si>
    <t>توضیح: خطاهای اساسی که به طور مستقیم کل سیستم ارزیابی و پاداش را تحت تاثیر قرار می‌دهند.</t>
  </si>
  <si>
    <t>شدت</t>
  </si>
  <si>
    <t>اثر روی ارزیابی</t>
  </si>
  <si>
    <t>توضیحات ارزیاب</t>
  </si>
  <si>
    <t>1405/02/25</t>
  </si>
  <si>
    <t>بروز مغایرت فاحش در صندوق به دلیل عدم رعایت فرآیند کنترلی</t>
  </si>
  <si>
    <t>بررسی دقیق انجام شد</t>
  </si>
  <si>
    <t>رویداد بحرانی (Red Flag)</t>
  </si>
  <si>
    <t>رویدادها و بازخوردها  (Performance Journal)</t>
  </si>
  <si>
    <t xml:space="preserve"> تنظیم وزن‌های اصلی سیستم (درصد)</t>
  </si>
  <si>
    <t>خلاصه امتیازات محاسباتی</t>
  </si>
  <si>
    <t>جدول راهنمای تفسیر امتیازات</t>
  </si>
  <si>
    <t>تفسیر عملکرد</t>
  </si>
  <si>
    <t>پاداش پیشنهادی</t>
  </si>
  <si>
    <t>نیازمند اقدام فوری (Critical)</t>
  </si>
  <si>
    <t>نیازمند بهبود (Improve)</t>
  </si>
  <si>
    <t>قابل قبول (Acceptable)</t>
  </si>
  <si>
    <t>خوب (Good)</t>
  </si>
  <si>
    <t>عالی (Excellent)</t>
  </si>
  <si>
    <t>از</t>
  </si>
  <si>
    <t>تا</t>
  </si>
  <si>
    <t>کد پرسنلی / کدملی:</t>
  </si>
  <si>
    <t>• شدت متوسط: کاهش  در امتیاز نهایی کل سیستم ( ۵- درصد)
• شدت زیاد: کاهش  در امتیاز نهایی کل سیستم (۱۰- درصد)
• شدت بحرانی: ضریب پاداش دوره‌ای فرد دقیقاً برابر صفر (۰٪) خواهد شد.</t>
  </si>
  <si>
    <t>در هر دوره ارزیابی تنها شدیدترین مورد ثبت شود.</t>
  </si>
  <si>
    <t>دقت، تمرکز و کنترل استرس در شرایط فشار کاری</t>
  </si>
  <si>
    <t>امانت‌داری، صداقت و اخلاق حرفه‌ای</t>
  </si>
  <si>
    <t>رعایت کامل محرمانگی اطلاعات و اسناد مالی</t>
  </si>
  <si>
    <t>اطلاعات سند (Document Information)</t>
  </si>
  <si>
    <t>نام سند</t>
  </si>
  <si>
    <t>کد سند</t>
  </si>
  <si>
    <t>نسخه</t>
  </si>
  <si>
    <t>1.0</t>
  </si>
  <si>
    <t>تاریخ انتشار</t>
  </si>
  <si>
    <t>بهار 1405</t>
  </si>
  <si>
    <t>ناشر</t>
  </si>
  <si>
    <t>DBDoc</t>
  </si>
  <si>
    <t>سطح استفاده</t>
  </si>
  <si>
    <t>Internal Organizational Use</t>
  </si>
  <si>
    <t>حقوق استفاده (License &amp; Usage Rights)</t>
  </si>
  <si>
    <t>• استفاده از این سند در داخل سازمان خریدار مجاز است.</t>
  </si>
  <si>
    <t>• ویرایش و شخصی‌سازی سند برای نیازهای داخلی سازمان مجاز است.</t>
  </si>
  <si>
    <t>• فروش مجدد سند مجاز نیست.</t>
  </si>
  <si>
    <t>• انتشار عمومی یا اشتراک‌گذاری خارج از سازمان خریدار مجاز نیست.</t>
  </si>
  <si>
    <t>• حقوق مالکیت قالب و ساختار سند متعلق به DBDoc است.</t>
  </si>
  <si>
    <t>سیستم ارزیابی عملکرد و پاداش خزانه‌داری</t>
  </si>
  <si>
    <t>DBDOC-HR-TRS-001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</si>
</sst>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font>
      <sz val="11"/>
      <color theme="1"/>
      <name val="Calibri"/>
      <family val="2"/>
      <scheme val="minor"/>
    </font>
    <font>
      <b/>
      <sz val="16"/>
      <color rgb="FFFFFFFF"/>
      <name val="Tahoma"/>
      <family val="2"/>
    </font>
    <font>
      <b/>
      <sz val="12"/>
      <color rgb="FF2A4B7C"/>
      <name val="Tahoma"/>
      <family val="2"/>
    </font>
    <font>
      <sz val="10"/>
      <color rgb="FF000000"/>
      <name val="Tahoma"/>
      <family val="2"/>
    </font>
    <font>
      <b/>
      <sz val="10"/>
      <color rgb="FF000000"/>
      <name val="Tahoma"/>
      <family val="2"/>
    </font>
    <font>
      <b/>
      <sz val="10"/>
      <color rgb="FFFFFFFF"/>
      <name val="Tahoma"/>
      <family val="2"/>
    </font>
    <font>
      <i/>
      <sz val="9"/>
      <color rgb="FF595959"/>
      <name val="Tahoma"/>
      <family val="2"/>
    </font>
    <font>
      <sz val="11"/>
      <color theme="1"/>
      <name val="Calibri"/>
      <family val="2"/>
      <scheme val="minor"/>
    </font>
    <font>
      <sz val="10"/>
      <color rgb="FF000000"/>
      <name val="Tahoma"/>
    </font>
    <font>
      <b/>
      <sz val="12"/>
      <color rgb="FF2A4B7C"/>
      <name val="Tahoma"/>
    </font>
    <font>
      <i/>
      <sz val="9"/>
      <color rgb="FF595959"/>
      <name val="Tahoma"/>
    </font>
    <font>
      <b/>
      <sz val="10"/>
      <color rgb="FFFFFFFF"/>
      <name val="Tahoma"/>
    </font>
    <font>
      <b/>
      <sz val="10"/>
      <color rgb="FF991B1B"/>
      <name val="Tahoma"/>
    </font>
    <font>
      <sz val="10"/>
      <color theme="5" tint="-0.499984740745262"/>
      <name val="Tahoma"/>
      <family val="2"/>
    </font>
    <font>
      <b/>
      <sz val="10"/>
      <color theme="5" tint="-0.499984740745262"/>
      <name val="Tahoma"/>
      <family val="2"/>
    </font>
    <font>
      <b/>
      <sz val="11"/>
      <color rgb="FF000000"/>
      <name val="Tahoma"/>
      <family val="2"/>
    </font>
    <font>
      <sz val="11"/>
      <color rgb="FF000000"/>
      <name val="Tahoma"/>
      <family val="2"/>
    </font>
    <font>
      <b/>
      <sz val="13"/>
      <color rgb="FFFFFFFF"/>
      <name val="Tahoma"/>
      <family val="2"/>
    </font>
    <font>
      <sz val="11"/>
      <color theme="1"/>
      <name val="Tahoma"/>
      <family val="2"/>
    </font>
    <font>
      <sz val="11"/>
      <color rgb="FF000000"/>
      <name val="B Nazanin"/>
    </font>
  </fonts>
  <fills count="10">
    <fill>
      <patternFill patternType="none"/>
    </fill>
    <fill>
      <patternFill patternType="gray125"/>
    </fill>
    <fill>
      <patternFill patternType="solid">
        <fgColor rgb="FF2A4B7C"/>
        <bgColor rgb="FF2A4B7C"/>
      </patternFill>
    </fill>
    <fill>
      <patternFill patternType="solid">
        <fgColor rgb="FFF0F4F8"/>
        <bgColor rgb="FFF0F4F8"/>
      </patternFill>
    </fill>
    <fill>
      <patternFill patternType="solid">
        <fgColor rgb="FFF8FAFC"/>
        <bgColor rgb="FFF8FAFC"/>
      </patternFill>
    </fill>
    <fill>
      <patternFill patternType="solid">
        <fgColor theme="4" tint="-0.249977111117893"/>
        <bgColor rgb="FFD1FAE5"/>
      </patternFill>
    </fill>
    <fill>
      <patternFill patternType="solid">
        <fgColor rgb="FFFEE2E2"/>
        <bgColor rgb="FFFEE2E2"/>
      </patternFill>
    </fill>
    <fill>
      <patternFill patternType="solid">
        <fgColor rgb="FFF7F9FC"/>
        <bgColor rgb="FFF7F9FC"/>
      </patternFill>
    </fill>
    <fill>
      <patternFill patternType="solid">
        <fgColor rgb="FF1F4E78"/>
        <bgColor rgb="FF1F4E78"/>
      </patternFill>
    </fill>
    <fill>
      <patternFill patternType="solid">
        <fgColor rgb="FFD9E1F2"/>
        <bgColor rgb="FFD9E1F2"/>
      </patternFill>
    </fill>
  </fills>
  <borders count="12">
    <border>
      <left/>
      <right/>
      <top/>
      <bottom/>
      <diagonal/>
    </border>
    <border>
      <left style="thin">
        <color rgb="FFD1D5DB"/>
      </left>
      <right style="thin">
        <color rgb="FFD1D5DB"/>
      </right>
      <top style="thin">
        <color rgb="FFD1D5DB"/>
      </top>
      <bottom style="thin">
        <color rgb="FFD1D5DB"/>
      </bottom>
      <diagonal/>
    </border>
    <border>
      <left/>
      <right style="thin">
        <color rgb="FFD1D5DB"/>
      </right>
      <top style="thin">
        <color rgb="FFD1D5DB"/>
      </top>
      <bottom style="thin">
        <color rgb="FFD1D5DB"/>
      </bottom>
      <diagonal/>
    </border>
    <border>
      <left/>
      <right/>
      <top style="thin">
        <color rgb="FF000000"/>
      </top>
      <bottom style="double">
        <color rgb="FF000000"/>
      </bottom>
      <diagonal/>
    </border>
    <border>
      <left style="thin">
        <color rgb="FFD1D5DB"/>
      </left>
      <right/>
      <top style="thin">
        <color rgb="FFD1D5DB"/>
      </top>
      <bottom style="thin">
        <color rgb="FFD1D5DB"/>
      </bottom>
      <diagonal/>
    </border>
    <border>
      <left/>
      <right/>
      <top/>
      <bottom style="thin">
        <color rgb="FFD1D5DB"/>
      </bottom>
      <diagonal/>
    </border>
    <border>
      <left style="thin">
        <color rgb="FFCCCCCC"/>
      </left>
      <right style="thin">
        <color rgb="FFCCCCCC"/>
      </right>
      <top style="thin">
        <color rgb="FFCCCCCC"/>
      </top>
      <bottom style="thin">
        <color rgb="FFCCCCCC"/>
      </bottom>
      <diagonal/>
    </border>
    <border>
      <left/>
      <right/>
      <top/>
      <bottom style="thin">
        <color rgb="FFCCCCCC"/>
      </bottom>
      <diagonal/>
    </border>
    <border>
      <left style="thin">
        <color rgb="FFD1D5DB"/>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2">
    <xf numFmtId="0" fontId="0" fillId="0" borderId="0"/>
    <xf numFmtId="9" fontId="7" fillId="0" borderId="0" applyFont="0" applyFill="0" applyBorder="0" applyAlignment="0" applyProtection="0"/>
  </cellStyleXfs>
  <cellXfs count="116">
    <xf numFmtId="0" fontId="0" fillId="0" borderId="0" xfId="0"/>
    <xf numFmtId="0" fontId="2" fillId="0" borderId="0" xfId="0" applyFont="1"/>
    <xf numFmtId="0" fontId="4" fillId="0" borderId="0" xfId="0" applyFont="1"/>
    <xf numFmtId="0" fontId="3" fillId="0" borderId="1" xfId="0" applyFont="1" applyBorder="1" applyAlignment="1">
      <alignment horizontal="right" vertical="center" wrapText="1"/>
    </xf>
    <xf numFmtId="0" fontId="5"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9" fontId="3" fillId="0" borderId="1" xfId="0" applyNumberFormat="1" applyFont="1" applyBorder="1"/>
    <xf numFmtId="2" fontId="3" fillId="0" borderId="1" xfId="0" applyNumberFormat="1" applyFont="1" applyBorder="1"/>
    <xf numFmtId="0" fontId="3" fillId="4" borderId="1" xfId="0" applyFont="1" applyFill="1" applyBorder="1" applyAlignment="1">
      <alignment horizontal="center" vertical="center" wrapText="1"/>
    </xf>
    <xf numFmtId="0" fontId="3" fillId="4" borderId="1" xfId="0" applyFont="1" applyFill="1" applyBorder="1" applyAlignment="1">
      <alignment horizontal="right" vertical="center" wrapText="1"/>
    </xf>
    <xf numFmtId="9" fontId="3" fillId="4" borderId="1" xfId="0" applyNumberFormat="1" applyFont="1" applyFill="1" applyBorder="1"/>
    <xf numFmtId="2" fontId="3" fillId="4" borderId="1" xfId="0" applyNumberFormat="1" applyFont="1" applyFill="1" applyBorder="1"/>
    <xf numFmtId="0" fontId="0" fillId="0" borderId="3" xfId="0" applyBorder="1"/>
    <xf numFmtId="0" fontId="4" fillId="0" borderId="3" xfId="0" applyFont="1" applyBorder="1"/>
    <xf numFmtId="9" fontId="4" fillId="0" borderId="3" xfId="0" applyNumberFormat="1" applyFont="1" applyBorder="1"/>
    <xf numFmtId="2" fontId="4" fillId="3" borderId="3" xfId="0" applyNumberFormat="1" applyFont="1" applyFill="1" applyBorder="1"/>
    <xf numFmtId="0" fontId="3" fillId="0" borderId="1" xfId="0" applyFont="1" applyBorder="1"/>
    <xf numFmtId="164" fontId="3" fillId="0" borderId="1" xfId="0" applyNumberFormat="1" applyFont="1" applyBorder="1"/>
    <xf numFmtId="164" fontId="4" fillId="0" borderId="1" xfId="0" applyNumberFormat="1" applyFont="1" applyBorder="1"/>
    <xf numFmtId="3" fontId="3" fillId="0" borderId="0" xfId="0" applyNumberFormat="1" applyFont="1"/>
    <xf numFmtId="9" fontId="4" fillId="0" borderId="0" xfId="0" applyNumberFormat="1" applyFont="1"/>
    <xf numFmtId="0" fontId="0" fillId="0" borderId="0" xfId="0" applyAlignment="1">
      <alignment readingOrder="2"/>
    </xf>
    <xf numFmtId="0" fontId="3" fillId="0" borderId="0" xfId="0" applyFont="1" applyAlignment="1">
      <alignment horizontal="right" vertical="center" wrapText="1" readingOrder="2"/>
    </xf>
    <xf numFmtId="0" fontId="0" fillId="0" borderId="0" xfId="0" applyAlignment="1">
      <alignment horizontal="right" readingOrder="2"/>
    </xf>
    <xf numFmtId="0" fontId="2" fillId="0" borderId="0" xfId="0" applyFont="1" applyAlignment="1">
      <alignment horizontal="right" vertical="center" readingOrder="2"/>
    </xf>
    <xf numFmtId="0" fontId="0" fillId="0" borderId="0" xfId="0" applyAlignment="1">
      <alignment horizontal="right" vertical="center" readingOrder="2"/>
    </xf>
    <xf numFmtId="0" fontId="0" fillId="0" borderId="0" xfId="0" applyAlignment="1">
      <alignment vertical="center"/>
    </xf>
    <xf numFmtId="0" fontId="4" fillId="0" borderId="0" xfId="0" applyFont="1" applyAlignment="1">
      <alignment horizontal="right" vertical="center" readingOrder="2"/>
    </xf>
    <xf numFmtId="3" fontId="1" fillId="5" borderId="1" xfId="0" applyNumberFormat="1" applyFont="1" applyFill="1" applyBorder="1"/>
    <xf numFmtId="0" fontId="3" fillId="4" borderId="1" xfId="0" applyFont="1" applyFill="1" applyBorder="1" applyAlignment="1">
      <alignment horizontal="center" vertical="center" wrapText="1" readingOrder="2"/>
    </xf>
    <xf numFmtId="0" fontId="3" fillId="4" borderId="1" xfId="0" applyFont="1" applyFill="1" applyBorder="1" applyAlignment="1">
      <alignment horizontal="right" vertical="center" wrapText="1" readingOrder="2"/>
    </xf>
    <xf numFmtId="0" fontId="3" fillId="0" borderId="1" xfId="0" applyFont="1" applyBorder="1" applyAlignment="1">
      <alignment horizontal="center" vertical="center" wrapText="1" readingOrder="2"/>
    </xf>
    <xf numFmtId="0" fontId="3" fillId="0" borderId="1" xfId="0" applyFont="1" applyBorder="1" applyAlignment="1">
      <alignment horizontal="right" vertical="center" wrapText="1" readingOrder="2"/>
    </xf>
    <xf numFmtId="0" fontId="5" fillId="2" borderId="1" xfId="0" applyFont="1" applyFill="1" applyBorder="1" applyAlignment="1">
      <alignment horizontal="center" vertical="center" wrapText="1" readingOrder="2"/>
    </xf>
    <xf numFmtId="0" fontId="8" fillId="0" borderId="0" xfId="0" applyFont="1" applyAlignment="1">
      <alignment horizontal="right" vertical="center" wrapText="1" readingOrder="2"/>
    </xf>
    <xf numFmtId="0" fontId="11" fillId="2" borderId="1" xfId="0" applyFont="1" applyFill="1" applyBorder="1" applyAlignment="1">
      <alignment horizontal="right" vertical="center" wrapText="1" readingOrder="2"/>
    </xf>
    <xf numFmtId="0" fontId="8" fillId="6" borderId="1" xfId="0" applyFont="1" applyFill="1" applyBorder="1" applyAlignment="1">
      <alignment horizontal="right" vertical="center" wrapText="1" readingOrder="2"/>
    </xf>
    <xf numFmtId="0" fontId="5" fillId="2" borderId="1" xfId="0" applyFont="1" applyFill="1" applyBorder="1" applyAlignment="1">
      <alignment horizontal="right" vertical="center" wrapText="1" readingOrder="2"/>
    </xf>
    <xf numFmtId="0" fontId="6" fillId="0" borderId="0" xfId="0" applyFont="1" applyAlignment="1">
      <alignment horizontal="right" vertical="center" readingOrder="2"/>
    </xf>
    <xf numFmtId="0" fontId="11" fillId="2" borderId="1" xfId="0" applyFont="1" applyFill="1" applyBorder="1" applyAlignment="1">
      <alignment horizontal="center" vertical="center" wrapText="1" readingOrder="2"/>
    </xf>
    <xf numFmtId="0" fontId="12" fillId="6" borderId="1" xfId="0" applyFont="1" applyFill="1" applyBorder="1" applyAlignment="1">
      <alignment horizontal="center" vertical="center" wrapText="1" readingOrder="2"/>
    </xf>
    <xf numFmtId="0" fontId="0" fillId="0" borderId="0" xfId="0" applyAlignment="1">
      <alignment horizontal="center" vertical="center" readingOrder="2"/>
    </xf>
    <xf numFmtId="0" fontId="5" fillId="2" borderId="0" xfId="0" applyFont="1" applyFill="1" applyAlignment="1">
      <alignment readingOrder="2"/>
    </xf>
    <xf numFmtId="9" fontId="0" fillId="0" borderId="1" xfId="0" applyNumberFormat="1" applyBorder="1" applyAlignment="1">
      <alignment readingOrder="2"/>
    </xf>
    <xf numFmtId="9" fontId="4" fillId="0" borderId="1" xfId="0" applyNumberFormat="1" applyFont="1" applyBorder="1" applyAlignment="1">
      <alignment readingOrder="2"/>
    </xf>
    <xf numFmtId="0" fontId="5" fillId="2" borderId="0" xfId="0" applyFont="1" applyFill="1" applyAlignment="1">
      <alignment horizontal="center" vertical="center" wrapText="1" readingOrder="2"/>
    </xf>
    <xf numFmtId="164" fontId="3" fillId="0" borderId="1" xfId="0" applyNumberFormat="1" applyFont="1" applyBorder="1" applyAlignment="1">
      <alignment horizontal="center" vertical="center" wrapText="1" readingOrder="2"/>
    </xf>
    <xf numFmtId="0" fontId="4" fillId="0" borderId="1" xfId="0" applyFont="1" applyBorder="1" applyAlignment="1">
      <alignment horizontal="center" vertical="center" wrapText="1" readingOrder="2"/>
    </xf>
    <xf numFmtId="164" fontId="4" fillId="0" borderId="1" xfId="0" applyNumberFormat="1" applyFont="1" applyBorder="1" applyAlignment="1">
      <alignment horizontal="center" vertical="center" wrapText="1" readingOrder="2"/>
    </xf>
    <xf numFmtId="0" fontId="4" fillId="0" borderId="0" xfId="0" applyFont="1" applyAlignment="1">
      <alignment readingOrder="2"/>
    </xf>
    <xf numFmtId="0" fontId="4" fillId="3" borderId="0" xfId="0" applyFont="1" applyFill="1" applyAlignment="1">
      <alignment readingOrder="2"/>
    </xf>
    <xf numFmtId="0" fontId="14" fillId="6" borderId="1" xfId="0" applyFont="1" applyFill="1" applyBorder="1" applyAlignment="1">
      <alignment horizontal="right" vertical="center" wrapText="1" readingOrder="2"/>
    </xf>
    <xf numFmtId="0" fontId="15" fillId="7" borderId="6" xfId="0" applyFont="1" applyFill="1" applyBorder="1" applyAlignment="1">
      <alignment horizontal="center" vertical="center"/>
    </xf>
    <xf numFmtId="0" fontId="16" fillId="0" borderId="0" xfId="0" applyFont="1" applyAlignment="1">
      <alignment horizontal="center" vertical="center"/>
    </xf>
    <xf numFmtId="0" fontId="16" fillId="0" borderId="0" xfId="0" applyFont="1" applyAlignment="1">
      <alignment horizontal="right" vertical="center"/>
    </xf>
    <xf numFmtId="0" fontId="0" fillId="0" borderId="0" xfId="0" applyAlignment="1">
      <alignment vertical="center" wrapText="1"/>
    </xf>
    <xf numFmtId="9" fontId="0" fillId="0" borderId="0" xfId="0" applyNumberFormat="1" applyAlignment="1">
      <alignment vertical="center" wrapText="1"/>
    </xf>
    <xf numFmtId="0" fontId="13" fillId="0" borderId="1" xfId="0" applyFont="1" applyBorder="1" applyAlignment="1">
      <alignment horizontal="center" vertical="center" wrapText="1" readingOrder="2"/>
    </xf>
    <xf numFmtId="164" fontId="13" fillId="0" borderId="1" xfId="0" applyNumberFormat="1" applyFont="1" applyBorder="1" applyAlignment="1">
      <alignment horizontal="center" vertical="center" wrapText="1" readingOrder="2"/>
    </xf>
    <xf numFmtId="9" fontId="0" fillId="0" borderId="0" xfId="0" applyNumberFormat="1" applyAlignment="1">
      <alignment vertical="center" wrapText="1" readingOrder="2"/>
    </xf>
    <xf numFmtId="9" fontId="4" fillId="3" borderId="0" xfId="1" applyFont="1" applyFill="1" applyAlignment="1">
      <alignment horizontal="center" vertical="center" readingOrder="2"/>
    </xf>
    <xf numFmtId="0" fontId="3" fillId="0" borderId="1" xfId="0" applyFont="1" applyBorder="1" applyAlignment="1">
      <alignment horizontal="right" vertical="center" wrapText="1"/>
    </xf>
    <xf numFmtId="0" fontId="0" fillId="0" borderId="0" xfId="0"/>
    <xf numFmtId="0" fontId="1" fillId="2" borderId="0" xfId="0" applyFont="1" applyFill="1" applyAlignment="1">
      <alignment horizontal="center" vertical="center" wrapText="1"/>
    </xf>
    <xf numFmtId="0" fontId="0" fillId="3" borderId="1" xfId="0" applyFill="1" applyBorder="1"/>
    <xf numFmtId="0" fontId="0" fillId="0" borderId="2" xfId="0" applyBorder="1"/>
    <xf numFmtId="0" fontId="0" fillId="3" borderId="1" xfId="0" applyFill="1" applyBorder="1" applyAlignment="1">
      <alignment horizontal="right"/>
    </xf>
    <xf numFmtId="0" fontId="0" fillId="0" borderId="2" xfId="0" applyBorder="1" applyAlignment="1">
      <alignment horizontal="right"/>
    </xf>
    <xf numFmtId="3" fontId="0" fillId="3" borderId="1" xfId="0" applyNumberFormat="1" applyFill="1" applyBorder="1"/>
    <xf numFmtId="0" fontId="9" fillId="0" borderId="0" xfId="0" applyFont="1" applyAlignment="1">
      <alignment horizontal="right" readingOrder="2"/>
    </xf>
    <xf numFmtId="0" fontId="0" fillId="0" borderId="0" xfId="0" applyAlignment="1">
      <alignment horizontal="right" readingOrder="2"/>
    </xf>
    <xf numFmtId="0" fontId="8" fillId="0" borderId="0" xfId="0" applyFont="1" applyAlignment="1">
      <alignment horizontal="right" vertical="center" wrapText="1" readingOrder="2"/>
    </xf>
    <xf numFmtId="0" fontId="9" fillId="0" borderId="0" xfId="0" applyFont="1" applyAlignment="1">
      <alignment horizontal="right" vertical="center" readingOrder="2"/>
    </xf>
    <xf numFmtId="0" fontId="0" fillId="0" borderId="0" xfId="0" applyAlignment="1">
      <alignment horizontal="right" vertical="center" readingOrder="2"/>
    </xf>
    <xf numFmtId="0" fontId="2" fillId="0" borderId="0" xfId="0" applyFont="1" applyAlignment="1">
      <alignment horizontal="right" vertical="center" readingOrder="2"/>
    </xf>
    <xf numFmtId="0" fontId="3" fillId="0" borderId="0" xfId="0" applyFont="1" applyAlignment="1">
      <alignment horizontal="right" vertical="center" wrapText="1" readingOrder="2"/>
    </xf>
    <xf numFmtId="0" fontId="0" fillId="0" borderId="0" xfId="0" applyAlignment="1">
      <alignment horizontal="center" readingOrder="2"/>
    </xf>
    <xf numFmtId="0" fontId="10" fillId="0" borderId="0" xfId="0" applyFont="1" applyAlignment="1">
      <alignment horizontal="right" vertical="center" readingOrder="2"/>
    </xf>
    <xf numFmtId="0" fontId="6" fillId="0" borderId="0" xfId="0" applyFont="1" applyAlignment="1">
      <alignment horizontal="right" vertical="center" readingOrder="2"/>
    </xf>
    <xf numFmtId="0" fontId="6" fillId="0" borderId="5" xfId="0" applyFont="1" applyBorder="1" applyAlignment="1">
      <alignment horizontal="right" vertical="center" readingOrder="2"/>
    </xf>
    <xf numFmtId="0" fontId="5" fillId="2" borderId="4" xfId="0" applyFont="1" applyFill="1" applyBorder="1" applyAlignment="1">
      <alignment horizontal="right" vertical="center" wrapText="1" readingOrder="2"/>
    </xf>
    <xf numFmtId="0" fontId="5" fillId="2" borderId="2" xfId="0" applyFont="1" applyFill="1" applyBorder="1" applyAlignment="1">
      <alignment horizontal="right" vertical="center" wrapText="1" readingOrder="2"/>
    </xf>
    <xf numFmtId="0" fontId="3" fillId="0" borderId="4" xfId="0" applyFont="1" applyBorder="1" applyAlignment="1">
      <alignment horizontal="right" vertical="center" wrapText="1" readingOrder="2"/>
    </xf>
    <xf numFmtId="0" fontId="3" fillId="0" borderId="2" xfId="0" applyFont="1" applyBorder="1" applyAlignment="1">
      <alignment horizontal="right" vertical="center" wrapText="1" readingOrder="2"/>
    </xf>
    <xf numFmtId="0" fontId="3" fillId="4" borderId="4" xfId="0" applyFont="1" applyFill="1" applyBorder="1" applyAlignment="1">
      <alignment horizontal="right" vertical="center" wrapText="1" readingOrder="2"/>
    </xf>
    <xf numFmtId="0" fontId="3" fillId="4" borderId="2" xfId="0" applyFont="1" applyFill="1" applyBorder="1" applyAlignment="1">
      <alignment horizontal="right" vertical="center" wrapText="1" readingOrder="2"/>
    </xf>
    <xf numFmtId="0" fontId="1" fillId="2" borderId="0" xfId="0" applyFont="1" applyFill="1" applyAlignment="1">
      <alignment horizontal="center" vertical="center" wrapText="1" readingOrder="2"/>
    </xf>
    <xf numFmtId="0" fontId="6" fillId="0" borderId="0" xfId="0" applyFont="1"/>
    <xf numFmtId="0" fontId="4" fillId="0" borderId="0" xfId="0" applyFont="1"/>
    <xf numFmtId="0" fontId="2" fillId="0" borderId="0" xfId="0" applyFont="1"/>
    <xf numFmtId="0" fontId="2" fillId="0" borderId="0" xfId="0" applyFont="1" applyAlignment="1">
      <alignment horizontal="right" readingOrder="2"/>
    </xf>
    <xf numFmtId="0" fontId="5" fillId="2" borderId="5" xfId="0" applyFont="1" applyFill="1" applyBorder="1" applyAlignment="1">
      <alignment horizontal="right" readingOrder="2"/>
    </xf>
    <xf numFmtId="0" fontId="0" fillId="0" borderId="4" xfId="0" applyBorder="1" applyAlignment="1">
      <alignment horizontal="right" readingOrder="2"/>
    </xf>
    <xf numFmtId="0" fontId="0" fillId="0" borderId="2" xfId="0" applyBorder="1" applyAlignment="1">
      <alignment horizontal="right" readingOrder="2"/>
    </xf>
    <xf numFmtId="0" fontId="3" fillId="0" borderId="4" xfId="0" applyFont="1" applyBorder="1" applyAlignment="1">
      <alignment horizontal="right" readingOrder="2"/>
    </xf>
    <xf numFmtId="0" fontId="3" fillId="0" borderId="2" xfId="0" applyFont="1" applyBorder="1" applyAlignment="1">
      <alignment horizontal="right" readingOrder="2"/>
    </xf>
    <xf numFmtId="0" fontId="13" fillId="0" borderId="4" xfId="0" applyFont="1" applyBorder="1" applyAlignment="1">
      <alignment horizontal="right" readingOrder="2"/>
    </xf>
    <xf numFmtId="0" fontId="13" fillId="0" borderId="2" xfId="0" applyFont="1" applyBorder="1" applyAlignment="1">
      <alignment horizontal="right" readingOrder="2"/>
    </xf>
    <xf numFmtId="0" fontId="4" fillId="0" borderId="4" xfId="0" applyFont="1" applyBorder="1" applyAlignment="1">
      <alignment horizontal="right" readingOrder="2"/>
    </xf>
    <xf numFmtId="0" fontId="4" fillId="0" borderId="2" xfId="0" applyFont="1" applyBorder="1" applyAlignment="1">
      <alignment horizontal="right" readingOrder="2"/>
    </xf>
    <xf numFmtId="0" fontId="5" fillId="2" borderId="7" xfId="0" applyFont="1" applyFill="1" applyBorder="1" applyAlignment="1">
      <alignment horizontal="center" vertical="center" wrapText="1" readingOrder="2"/>
    </xf>
    <xf numFmtId="0" fontId="6" fillId="0" borderId="1" xfId="0" applyFont="1" applyBorder="1"/>
    <xf numFmtId="0" fontId="0" fillId="0" borderId="1" xfId="0" applyBorder="1"/>
    <xf numFmtId="0" fontId="3" fillId="0" borderId="8" xfId="0" applyFont="1" applyBorder="1" applyAlignment="1">
      <alignment horizontal="center"/>
    </xf>
    <xf numFmtId="0" fontId="3" fillId="0" borderId="0" xfId="0" applyFont="1" applyAlignment="1">
      <alignment horizontal="center"/>
    </xf>
    <xf numFmtId="164" fontId="3" fillId="0" borderId="8" xfId="0" applyNumberFormat="1" applyFont="1" applyBorder="1" applyAlignment="1">
      <alignment horizontal="center"/>
    </xf>
    <xf numFmtId="164" fontId="3" fillId="0" borderId="0" xfId="0" applyNumberFormat="1" applyFont="1" applyAlignment="1">
      <alignment horizontal="center"/>
    </xf>
    <xf numFmtId="0" fontId="17" fillId="8" borderId="0" xfId="0" applyFont="1" applyFill="1" applyAlignment="1">
      <alignment horizontal="right" vertical="center" readingOrder="2"/>
    </xf>
    <xf numFmtId="0" fontId="18" fillId="0" borderId="0" xfId="0" applyFont="1" applyAlignment="1">
      <alignment readingOrder="2"/>
    </xf>
    <xf numFmtId="0" fontId="18" fillId="0" borderId="0" xfId="0" applyFont="1" applyAlignment="1">
      <alignment readingOrder="2"/>
    </xf>
    <xf numFmtId="0" fontId="15" fillId="9" borderId="9" xfId="0" applyFont="1" applyFill="1" applyBorder="1" applyAlignment="1">
      <alignment horizontal="right" vertical="center" readingOrder="2"/>
    </xf>
    <xf numFmtId="0" fontId="16" fillId="0" borderId="9" xfId="0" applyFont="1" applyBorder="1" applyAlignment="1">
      <alignment horizontal="right" vertical="center" readingOrder="2"/>
    </xf>
    <xf numFmtId="0" fontId="18" fillId="0" borderId="10" xfId="0" applyFont="1" applyBorder="1" applyAlignment="1">
      <alignment readingOrder="2"/>
    </xf>
    <xf numFmtId="0" fontId="18" fillId="0" borderId="11" xfId="0" applyFont="1" applyBorder="1" applyAlignment="1">
      <alignment readingOrder="2"/>
    </xf>
    <xf numFmtId="0" fontId="16" fillId="0" borderId="0" xfId="0" applyFont="1" applyAlignment="1">
      <alignment horizontal="right" vertical="center" readingOrder="2"/>
    </xf>
    <xf numFmtId="0" fontId="19" fillId="0" borderId="0" xfId="0" applyFont="1" applyAlignment="1">
      <alignment horizontal="right" vertical="center" readingOrder="2"/>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64E22-FAB9-43ED-8E45-70D35C04FC5A}">
  <dimension ref="A1:G46"/>
  <sheetViews>
    <sheetView rightToLeft="1" tabSelected="1" topLeftCell="A2" zoomScaleNormal="100" workbookViewId="0">
      <selection activeCell="A15" sqref="A15:G15"/>
    </sheetView>
  </sheetViews>
  <sheetFormatPr defaultRowHeight="15"/>
  <cols>
    <col min="1" max="1" width="60.7109375" style="23" customWidth="1"/>
    <col min="2" max="6" width="16" style="23" customWidth="1"/>
    <col min="7" max="16384" width="9.140625" style="23"/>
  </cols>
  <sheetData>
    <row r="1" spans="1:7">
      <c r="A1" s="86" t="s">
        <v>186</v>
      </c>
      <c r="B1" s="76"/>
      <c r="C1" s="76"/>
      <c r="D1" s="76"/>
      <c r="E1" s="76"/>
      <c r="F1" s="76"/>
    </row>
    <row r="2" spans="1:7">
      <c r="A2" s="76"/>
      <c r="B2" s="76"/>
      <c r="C2" s="76"/>
      <c r="D2" s="76"/>
      <c r="E2" s="76"/>
      <c r="F2" s="76"/>
    </row>
    <row r="4" spans="1:7" s="21" customFormat="1" ht="16.5">
      <c r="A4" s="107" t="s">
        <v>214</v>
      </c>
      <c r="B4" s="108"/>
      <c r="C4" s="108"/>
      <c r="D4" s="109"/>
      <c r="E4" s="109"/>
      <c r="F4" s="109"/>
      <c r="G4" s="109"/>
    </row>
    <row r="5" spans="1:7" s="21" customFormat="1">
      <c r="A5" s="110" t="s">
        <v>215</v>
      </c>
      <c r="B5" s="111" t="s">
        <v>231</v>
      </c>
      <c r="C5" s="112"/>
      <c r="D5" s="113"/>
      <c r="E5" s="109"/>
      <c r="F5" s="109"/>
      <c r="G5" s="109"/>
    </row>
    <row r="6" spans="1:7" s="21" customFormat="1">
      <c r="A6" s="110" t="s">
        <v>216</v>
      </c>
      <c r="B6" s="111" t="s">
        <v>232</v>
      </c>
      <c r="C6" s="112"/>
      <c r="D6" s="113"/>
      <c r="E6" s="109"/>
      <c r="F6" s="109"/>
      <c r="G6" s="109"/>
    </row>
    <row r="7" spans="1:7" s="21" customFormat="1">
      <c r="A7" s="110" t="s">
        <v>217</v>
      </c>
      <c r="B7" s="111" t="s">
        <v>218</v>
      </c>
      <c r="C7" s="112"/>
      <c r="D7" s="113"/>
      <c r="E7" s="109"/>
      <c r="F7" s="109"/>
      <c r="G7" s="109"/>
    </row>
    <row r="8" spans="1:7" s="21" customFormat="1">
      <c r="A8" s="110" t="s">
        <v>219</v>
      </c>
      <c r="B8" s="111" t="s">
        <v>220</v>
      </c>
      <c r="C8" s="112"/>
      <c r="D8" s="113"/>
      <c r="E8" s="109"/>
      <c r="F8" s="109"/>
      <c r="G8" s="109"/>
    </row>
    <row r="9" spans="1:7" s="21" customFormat="1">
      <c r="A9" s="110" t="s">
        <v>221</v>
      </c>
      <c r="B9" s="111" t="s">
        <v>222</v>
      </c>
      <c r="C9" s="112"/>
      <c r="D9" s="113"/>
      <c r="E9" s="109"/>
      <c r="F9" s="109"/>
      <c r="G9" s="109"/>
    </row>
    <row r="10" spans="1:7" s="21" customFormat="1">
      <c r="A10" s="110" t="s">
        <v>223</v>
      </c>
      <c r="B10" s="111" t="s">
        <v>224</v>
      </c>
      <c r="C10" s="112"/>
      <c r="D10" s="113"/>
      <c r="E10" s="109"/>
      <c r="F10" s="109"/>
      <c r="G10" s="109"/>
    </row>
    <row r="11" spans="1:7" s="21" customFormat="1">
      <c r="A11" s="109"/>
      <c r="B11" s="109"/>
      <c r="C11" s="109"/>
      <c r="D11" s="109"/>
      <c r="E11" s="109"/>
      <c r="F11" s="109"/>
      <c r="G11" s="109"/>
    </row>
    <row r="12" spans="1:7" s="21" customFormat="1" ht="16.5">
      <c r="A12" s="107" t="s">
        <v>225</v>
      </c>
      <c r="B12" s="108"/>
      <c r="C12" s="108"/>
      <c r="D12" s="108"/>
      <c r="E12" s="108"/>
      <c r="F12" s="108"/>
      <c r="G12" s="108"/>
    </row>
    <row r="13" spans="1:7" s="21" customFormat="1">
      <c r="A13" s="114" t="s">
        <v>226</v>
      </c>
      <c r="B13" s="108"/>
      <c r="C13" s="108"/>
      <c r="D13" s="108"/>
      <c r="E13" s="108"/>
      <c r="F13" s="108"/>
      <c r="G13" s="108"/>
    </row>
    <row r="14" spans="1:7" s="21" customFormat="1">
      <c r="A14" s="114" t="s">
        <v>227</v>
      </c>
      <c r="B14" s="108"/>
      <c r="C14" s="108"/>
      <c r="D14" s="108"/>
      <c r="E14" s="108"/>
      <c r="F14" s="108"/>
      <c r="G14" s="108"/>
    </row>
    <row r="15" spans="1:7" s="21" customFormat="1">
      <c r="A15" s="114" t="s">
        <v>228</v>
      </c>
      <c r="B15" s="108"/>
      <c r="C15" s="108"/>
      <c r="D15" s="108"/>
      <c r="E15" s="108"/>
      <c r="F15" s="108"/>
      <c r="G15" s="108"/>
    </row>
    <row r="16" spans="1:7" s="21" customFormat="1">
      <c r="A16" s="114" t="s">
        <v>229</v>
      </c>
      <c r="B16" s="108"/>
      <c r="C16" s="108"/>
      <c r="D16" s="108"/>
      <c r="E16" s="108"/>
      <c r="F16" s="108"/>
      <c r="G16" s="108"/>
    </row>
    <row r="17" spans="1:7" s="21" customFormat="1">
      <c r="A17" s="114" t="s">
        <v>230</v>
      </c>
      <c r="B17" s="108"/>
      <c r="C17" s="108"/>
      <c r="D17" s="108"/>
      <c r="E17" s="108"/>
      <c r="F17" s="108"/>
      <c r="G17" s="108"/>
    </row>
    <row r="18" spans="1:7" s="21" customFormat="1">
      <c r="A18" s="115"/>
    </row>
    <row r="19" spans="1:7" s="25" customFormat="1" ht="20.25" customHeight="1">
      <c r="A19" s="72" t="s">
        <v>185</v>
      </c>
      <c r="B19" s="73"/>
      <c r="C19" s="73"/>
      <c r="D19" s="73"/>
      <c r="E19" s="73"/>
      <c r="F19" s="73"/>
    </row>
    <row r="20" spans="1:7" ht="38.25" customHeight="1">
      <c r="A20" s="71" t="s">
        <v>184</v>
      </c>
      <c r="B20" s="70"/>
      <c r="C20" s="70"/>
      <c r="D20" s="70"/>
      <c r="E20" s="70"/>
      <c r="F20" s="70"/>
    </row>
    <row r="21" spans="1:7" ht="14.25" customHeight="1">
      <c r="A21" s="34"/>
    </row>
    <row r="22" spans="1:7" s="26" customFormat="1" ht="19.5" customHeight="1">
      <c r="A22" s="74" t="s">
        <v>0</v>
      </c>
      <c r="B22" s="73"/>
      <c r="C22" s="73"/>
      <c r="D22" s="73"/>
      <c r="E22" s="73"/>
      <c r="F22" s="73"/>
    </row>
    <row r="23" spans="1:7" s="26" customFormat="1" ht="19.5" customHeight="1">
      <c r="A23" s="75" t="s">
        <v>1</v>
      </c>
      <c r="B23" s="73"/>
      <c r="C23" s="73"/>
      <c r="D23" s="73"/>
      <c r="E23" s="73"/>
      <c r="F23" s="73"/>
    </row>
    <row r="24" spans="1:7" s="26" customFormat="1" ht="19.5" customHeight="1">
      <c r="A24" s="27" t="s">
        <v>2</v>
      </c>
      <c r="B24" s="75" t="s">
        <v>3</v>
      </c>
      <c r="C24" s="73"/>
      <c r="D24" s="73"/>
      <c r="E24" s="73"/>
      <c r="F24" s="73"/>
    </row>
    <row r="25" spans="1:7" s="26" customFormat="1" ht="19.5" customHeight="1">
      <c r="A25" s="27" t="s">
        <v>4</v>
      </c>
      <c r="B25" s="75" t="s">
        <v>5</v>
      </c>
      <c r="C25" s="73"/>
      <c r="D25" s="73"/>
      <c r="E25" s="73"/>
      <c r="F25" s="73"/>
    </row>
    <row r="26" spans="1:7" s="26" customFormat="1" ht="19.5" customHeight="1">
      <c r="A26" s="27" t="s">
        <v>6</v>
      </c>
      <c r="B26" s="75" t="s">
        <v>7</v>
      </c>
      <c r="C26" s="73"/>
      <c r="D26" s="73"/>
      <c r="E26" s="73"/>
      <c r="F26" s="73"/>
    </row>
    <row r="27" spans="1:7" s="26" customFormat="1" ht="19.5" customHeight="1">
      <c r="A27" s="27"/>
      <c r="B27" s="22"/>
      <c r="C27" s="25"/>
      <c r="D27" s="25"/>
      <c r="E27" s="25"/>
      <c r="F27" s="25"/>
    </row>
    <row r="28" spans="1:7" s="26" customFormat="1" ht="19.5" customHeight="1">
      <c r="A28" s="74" t="s">
        <v>8</v>
      </c>
      <c r="B28" s="73"/>
      <c r="C28" s="73"/>
      <c r="D28" s="73"/>
      <c r="E28" s="73"/>
      <c r="F28" s="73"/>
    </row>
    <row r="29" spans="1:7" s="26" customFormat="1" ht="19.5" customHeight="1">
      <c r="A29" s="75" t="s">
        <v>9</v>
      </c>
      <c r="B29" s="73"/>
      <c r="C29" s="73"/>
      <c r="D29" s="73"/>
      <c r="E29" s="73"/>
      <c r="F29" s="73"/>
    </row>
    <row r="30" spans="1:7" s="26" customFormat="1" ht="19.5" customHeight="1">
      <c r="A30" s="22"/>
      <c r="B30" s="25"/>
      <c r="C30" s="25"/>
      <c r="D30" s="25"/>
      <c r="E30" s="25"/>
      <c r="F30" s="25"/>
    </row>
    <row r="31" spans="1:7" s="26" customFormat="1" ht="19.5" customHeight="1">
      <c r="A31" s="74" t="s">
        <v>10</v>
      </c>
      <c r="B31" s="73"/>
      <c r="C31" s="73"/>
      <c r="D31" s="73"/>
      <c r="E31" s="73"/>
      <c r="F31" s="73"/>
    </row>
    <row r="32" spans="1:7" s="26" customFormat="1" ht="42.75" customHeight="1">
      <c r="A32" s="75" t="s">
        <v>11</v>
      </c>
      <c r="B32" s="73"/>
      <c r="C32" s="73"/>
      <c r="D32" s="73"/>
      <c r="E32" s="73"/>
      <c r="F32" s="73"/>
    </row>
    <row r="33" spans="1:6" ht="21" customHeight="1">
      <c r="A33" s="72" t="s">
        <v>183</v>
      </c>
      <c r="B33" s="73"/>
      <c r="C33" s="73"/>
      <c r="D33" s="73"/>
      <c r="E33" s="73"/>
      <c r="F33" s="73"/>
    </row>
    <row r="34" spans="1:6" ht="39" customHeight="1">
      <c r="A34" s="71" t="s">
        <v>182</v>
      </c>
      <c r="B34" s="70"/>
      <c r="C34" s="70"/>
      <c r="D34" s="70"/>
      <c r="E34" s="70"/>
      <c r="F34" s="70"/>
    </row>
    <row r="35" spans="1:6" ht="11.25" customHeight="1">
      <c r="A35" s="34"/>
    </row>
    <row r="36" spans="1:6" ht="26.25" customHeight="1">
      <c r="A36" s="72" t="s">
        <v>181</v>
      </c>
      <c r="B36" s="73"/>
      <c r="C36" s="73"/>
      <c r="D36" s="73"/>
      <c r="E36" s="73"/>
      <c r="F36" s="73"/>
    </row>
    <row r="37" spans="1:6" ht="82.5" customHeight="1">
      <c r="A37" s="71" t="s">
        <v>209</v>
      </c>
      <c r="B37" s="70"/>
      <c r="C37" s="70"/>
      <c r="D37" s="70"/>
      <c r="E37" s="70"/>
      <c r="F37" s="70"/>
    </row>
    <row r="38" spans="1:6" ht="21" customHeight="1">
      <c r="A38" s="34"/>
    </row>
    <row r="39" spans="1:6" ht="15.75">
      <c r="A39" s="69" t="s">
        <v>180</v>
      </c>
      <c r="B39" s="70"/>
      <c r="C39" s="70"/>
      <c r="D39" s="70"/>
      <c r="E39" s="70"/>
      <c r="F39" s="70"/>
    </row>
    <row r="40" spans="1:6" ht="35.25" customHeight="1">
      <c r="A40" s="71" t="s">
        <v>210</v>
      </c>
      <c r="B40" s="70"/>
      <c r="C40" s="70"/>
      <c r="D40" s="70"/>
      <c r="E40" s="70"/>
      <c r="F40" s="70"/>
    </row>
    <row r="41" spans="1:6" ht="24" customHeight="1">
      <c r="A41" s="34"/>
    </row>
    <row r="42" spans="1:6" s="26" customFormat="1" ht="19.5" customHeight="1">
      <c r="A42" s="74" t="s">
        <v>179</v>
      </c>
      <c r="B42" s="73"/>
      <c r="C42" s="73"/>
      <c r="D42" s="73"/>
      <c r="E42" s="73"/>
      <c r="F42" s="73"/>
    </row>
    <row r="43" spans="1:6" s="26" customFormat="1" ht="76.5" customHeight="1">
      <c r="A43" s="75" t="s">
        <v>12</v>
      </c>
      <c r="B43" s="73"/>
      <c r="C43" s="73"/>
      <c r="D43" s="73"/>
      <c r="E43" s="73"/>
      <c r="F43" s="73"/>
    </row>
    <row r="44" spans="1:6" s="26" customFormat="1" ht="18.75" customHeight="1">
      <c r="A44" s="22"/>
      <c r="B44" s="25"/>
      <c r="C44" s="25"/>
      <c r="D44" s="25"/>
      <c r="E44" s="25"/>
      <c r="F44" s="25"/>
    </row>
    <row r="45" spans="1:6" ht="15.75">
      <c r="A45" s="69" t="s">
        <v>178</v>
      </c>
      <c r="B45" s="70"/>
      <c r="C45" s="70"/>
      <c r="D45" s="70"/>
      <c r="E45" s="70"/>
      <c r="F45" s="70"/>
    </row>
    <row r="46" spans="1:6" ht="60" customHeight="1">
      <c r="A46" s="71" t="s">
        <v>177</v>
      </c>
      <c r="B46" s="70"/>
      <c r="C46" s="70"/>
      <c r="D46" s="70"/>
      <c r="E46" s="70"/>
      <c r="F46" s="70"/>
    </row>
  </sheetData>
  <mergeCells count="35">
    <mergeCell ref="A16:G16"/>
    <mergeCell ref="A17:G17"/>
    <mergeCell ref="B10:D10"/>
    <mergeCell ref="A12:G12"/>
    <mergeCell ref="A13:G13"/>
    <mergeCell ref="A14:G14"/>
    <mergeCell ref="A15:G15"/>
    <mergeCell ref="A1:F2"/>
    <mergeCell ref="A36:F36"/>
    <mergeCell ref="A34:F34"/>
    <mergeCell ref="A20:F20"/>
    <mergeCell ref="A40:F40"/>
    <mergeCell ref="A33:F33"/>
    <mergeCell ref="A22:F22"/>
    <mergeCell ref="A23:F23"/>
    <mergeCell ref="B24:F24"/>
    <mergeCell ref="B25:F25"/>
    <mergeCell ref="A4:C4"/>
    <mergeCell ref="B5:D5"/>
    <mergeCell ref="B6:D6"/>
    <mergeCell ref="B7:D7"/>
    <mergeCell ref="B8:D8"/>
    <mergeCell ref="B9:D9"/>
    <mergeCell ref="A45:F45"/>
    <mergeCell ref="A46:F46"/>
    <mergeCell ref="A19:F19"/>
    <mergeCell ref="A42:F42"/>
    <mergeCell ref="A43:F43"/>
    <mergeCell ref="B26:F26"/>
    <mergeCell ref="A28:F28"/>
    <mergeCell ref="A29:F29"/>
    <mergeCell ref="A31:F31"/>
    <mergeCell ref="A32:F32"/>
    <mergeCell ref="A39:F39"/>
    <mergeCell ref="A37:F3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7"/>
  <sheetViews>
    <sheetView rightToLeft="1" workbookViewId="0">
      <selection activeCell="B19" sqref="B19"/>
    </sheetView>
  </sheetViews>
  <sheetFormatPr defaultRowHeight="15"/>
  <cols>
    <col min="1" max="1" width="31.7109375" customWidth="1"/>
    <col min="2" max="2" width="21.28515625" customWidth="1"/>
    <col min="3" max="3" width="9.5703125" customWidth="1"/>
    <col min="4" max="4" width="31" bestFit="1" customWidth="1"/>
    <col min="5" max="5" width="16" customWidth="1"/>
    <col min="6" max="6" width="9.42578125" customWidth="1"/>
  </cols>
  <sheetData>
    <row r="1" spans="1:6">
      <c r="A1" s="63" t="s">
        <v>13</v>
      </c>
      <c r="B1" s="62"/>
      <c r="C1" s="62"/>
      <c r="D1" s="62"/>
      <c r="E1" s="62"/>
      <c r="F1" s="62"/>
    </row>
    <row r="2" spans="1:6">
      <c r="A2" s="62"/>
      <c r="B2" s="62"/>
      <c r="C2" s="62"/>
      <c r="D2" s="62"/>
      <c r="E2" s="62"/>
      <c r="F2" s="62"/>
    </row>
    <row r="4" spans="1:6">
      <c r="A4" s="2" t="s">
        <v>14</v>
      </c>
      <c r="B4" s="64" t="s">
        <v>15</v>
      </c>
      <c r="C4" s="65"/>
      <c r="D4" s="2" t="s">
        <v>208</v>
      </c>
      <c r="E4" s="66" t="s">
        <v>16</v>
      </c>
      <c r="F4" s="67"/>
    </row>
    <row r="5" spans="1:6">
      <c r="A5" s="2" t="s">
        <v>17</v>
      </c>
      <c r="B5" s="64" t="s">
        <v>18</v>
      </c>
      <c r="C5" s="65"/>
      <c r="D5" s="2" t="s">
        <v>19</v>
      </c>
      <c r="E5" s="64" t="s">
        <v>20</v>
      </c>
      <c r="F5" s="65"/>
    </row>
    <row r="6" spans="1:6">
      <c r="A6" s="2" t="s">
        <v>21</v>
      </c>
      <c r="B6" s="64" t="s">
        <v>22</v>
      </c>
      <c r="C6" s="65"/>
      <c r="D6" s="2" t="s">
        <v>23</v>
      </c>
      <c r="E6" s="64" t="s">
        <v>103</v>
      </c>
      <c r="F6" s="65"/>
    </row>
    <row r="7" spans="1:6">
      <c r="A7" s="2" t="s">
        <v>104</v>
      </c>
      <c r="B7" s="64" t="s">
        <v>22</v>
      </c>
      <c r="C7" s="65"/>
      <c r="D7" s="2" t="s">
        <v>102</v>
      </c>
      <c r="E7" s="68">
        <v>5000000</v>
      </c>
      <c r="F7" s="65"/>
    </row>
    <row r="9" spans="1:6" ht="15.75">
      <c r="A9" s="1" t="s">
        <v>24</v>
      </c>
    </row>
    <row r="10" spans="1:6">
      <c r="A10" s="61" t="s">
        <v>25</v>
      </c>
      <c r="B10" s="62"/>
      <c r="C10" s="62"/>
      <c r="D10" s="62"/>
      <c r="E10" s="62"/>
      <c r="F10" s="62"/>
    </row>
    <row r="11" spans="1:6">
      <c r="A11" s="62"/>
      <c r="B11" s="62"/>
      <c r="C11" s="62"/>
      <c r="D11" s="62"/>
      <c r="E11" s="62"/>
      <c r="F11" s="62"/>
    </row>
    <row r="12" spans="1:6">
      <c r="A12" s="62"/>
      <c r="B12" s="62"/>
      <c r="C12" s="62"/>
      <c r="D12" s="62"/>
      <c r="E12" s="62"/>
      <c r="F12" s="62"/>
    </row>
    <row r="13" spans="1:6">
      <c r="A13" s="62"/>
      <c r="B13" s="62"/>
      <c r="C13" s="62"/>
      <c r="D13" s="62"/>
      <c r="E13" s="62"/>
      <c r="F13" s="62"/>
    </row>
    <row r="15" spans="1:6">
      <c r="A15" s="2" t="s">
        <v>26</v>
      </c>
      <c r="D15" s="2" t="s">
        <v>27</v>
      </c>
    </row>
    <row r="17" spans="1:1">
      <c r="A17" s="2" t="s">
        <v>28</v>
      </c>
    </row>
  </sheetData>
  <mergeCells count="10">
    <mergeCell ref="A10:F13"/>
    <mergeCell ref="A1:F2"/>
    <mergeCell ref="E5:F5"/>
    <mergeCell ref="B4:C4"/>
    <mergeCell ref="B7:C7"/>
    <mergeCell ref="E4:F4"/>
    <mergeCell ref="B6:C6"/>
    <mergeCell ref="E6:F6"/>
    <mergeCell ref="E7:F7"/>
    <mergeCell ref="B5:C5"/>
  </mergeCells>
  <pageMargins left="0.75" right="0.75" top="1" bottom="1" header="0.5" footer="0.5"/>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74C5B-5215-4853-B02A-FB3F252C9385}">
  <dimension ref="A1:F35"/>
  <sheetViews>
    <sheetView rightToLeft="1" topLeftCell="A4" workbookViewId="0">
      <selection activeCell="B16" sqref="B16"/>
    </sheetView>
  </sheetViews>
  <sheetFormatPr defaultRowHeight="15"/>
  <cols>
    <col min="1" max="1" width="17.140625" style="25" customWidth="1"/>
    <col min="2" max="2" width="22.140625" style="41" bestFit="1" customWidth="1"/>
    <col min="3" max="3" width="46" style="25" customWidth="1"/>
    <col min="4" max="4" width="28.28515625" style="25" bestFit="1" customWidth="1"/>
    <col min="5" max="5" width="25.5703125" style="25" bestFit="1" customWidth="1"/>
    <col min="6" max="6" width="18" style="25" customWidth="1"/>
    <col min="7" max="16384" width="9.140625" style="25"/>
  </cols>
  <sheetData>
    <row r="1" spans="1:6">
      <c r="A1" s="86" t="s">
        <v>195</v>
      </c>
      <c r="B1" s="86"/>
      <c r="C1" s="86"/>
      <c r="D1" s="86"/>
      <c r="E1" s="86"/>
    </row>
    <row r="2" spans="1:6">
      <c r="A2" s="86"/>
      <c r="B2" s="86"/>
      <c r="C2" s="86"/>
      <c r="D2" s="86"/>
      <c r="E2" s="86"/>
    </row>
    <row r="4" spans="1:6">
      <c r="A4" s="74" t="s">
        <v>176</v>
      </c>
      <c r="B4" s="74"/>
      <c r="C4" s="74"/>
      <c r="D4" s="74"/>
      <c r="E4" s="74"/>
      <c r="F4" s="24"/>
    </row>
    <row r="5" spans="1:6">
      <c r="A5" s="79" t="s">
        <v>175</v>
      </c>
      <c r="B5" s="79"/>
      <c r="C5" s="79"/>
      <c r="D5" s="79"/>
      <c r="E5" s="79"/>
    </row>
    <row r="6" spans="1:6">
      <c r="A6" s="37" t="s">
        <v>119</v>
      </c>
      <c r="B6" s="33" t="s">
        <v>174</v>
      </c>
      <c r="C6" s="37" t="s">
        <v>173</v>
      </c>
      <c r="D6" s="37" t="s">
        <v>172</v>
      </c>
      <c r="E6" s="37" t="s">
        <v>171</v>
      </c>
    </row>
    <row r="7" spans="1:6">
      <c r="A7" s="32" t="s">
        <v>170</v>
      </c>
      <c r="B7" s="31" t="s">
        <v>162</v>
      </c>
      <c r="C7" s="32" t="s">
        <v>169</v>
      </c>
      <c r="D7" s="32" t="s">
        <v>137</v>
      </c>
      <c r="E7" s="32" t="s">
        <v>168</v>
      </c>
    </row>
    <row r="8" spans="1:6">
      <c r="A8" s="30" t="s">
        <v>167</v>
      </c>
      <c r="B8" s="29" t="s">
        <v>166</v>
      </c>
      <c r="C8" s="30" t="s">
        <v>165</v>
      </c>
      <c r="D8" s="30" t="s">
        <v>137</v>
      </c>
      <c r="E8" s="30" t="s">
        <v>164</v>
      </c>
    </row>
    <row r="9" spans="1:6" ht="25.5">
      <c r="A9" s="32" t="s">
        <v>163</v>
      </c>
      <c r="B9" s="31" t="s">
        <v>162</v>
      </c>
      <c r="C9" s="32" t="s">
        <v>161</v>
      </c>
      <c r="D9" s="32" t="s">
        <v>160</v>
      </c>
      <c r="E9" s="32" t="s">
        <v>159</v>
      </c>
    </row>
    <row r="10" spans="1:6" ht="25.5">
      <c r="A10" s="30" t="s">
        <v>158</v>
      </c>
      <c r="B10" s="29" t="s">
        <v>157</v>
      </c>
      <c r="C10" s="30" t="s">
        <v>156</v>
      </c>
      <c r="D10" s="30" t="s">
        <v>137</v>
      </c>
      <c r="E10" s="30" t="s">
        <v>155</v>
      </c>
    </row>
    <row r="11" spans="1:6">
      <c r="A11" s="32" t="s">
        <v>154</v>
      </c>
      <c r="B11" s="31" t="s">
        <v>153</v>
      </c>
      <c r="C11" s="32" t="s">
        <v>152</v>
      </c>
      <c r="D11" s="32" t="s">
        <v>151</v>
      </c>
      <c r="E11" s="32" t="s">
        <v>150</v>
      </c>
    </row>
    <row r="13" spans="1:6">
      <c r="A13" s="74" t="s">
        <v>194</v>
      </c>
      <c r="B13" s="74"/>
      <c r="C13" s="74"/>
      <c r="D13" s="74"/>
      <c r="E13" s="74"/>
      <c r="F13" s="24"/>
    </row>
    <row r="14" spans="1:6">
      <c r="A14" s="77" t="s">
        <v>187</v>
      </c>
      <c r="B14" s="73"/>
      <c r="C14" s="73"/>
      <c r="D14" s="73"/>
      <c r="E14" s="73"/>
      <c r="F14" s="24"/>
    </row>
    <row r="15" spans="1:6">
      <c r="A15" s="35" t="s">
        <v>119</v>
      </c>
      <c r="B15" s="39" t="s">
        <v>188</v>
      </c>
      <c r="C15" s="35" t="s">
        <v>173</v>
      </c>
      <c r="D15" s="35" t="s">
        <v>189</v>
      </c>
      <c r="E15" s="35" t="s">
        <v>190</v>
      </c>
    </row>
    <row r="16" spans="1:6" ht="25.5">
      <c r="A16" s="36" t="s">
        <v>191</v>
      </c>
      <c r="B16" s="40" t="s">
        <v>144</v>
      </c>
      <c r="C16" s="36" t="s">
        <v>192</v>
      </c>
      <c r="D16" s="51" t="str" cm="1">
        <f t="array" ref="D16">_xlfn.IFS(B16="-","-",B16="متوسط","کسر 5% امتیاز",B16="زیاد","کسر 10% امتیاز",B16="بحرانی","کسر تمام امتیازات")</f>
        <v>کسر 5% امتیاز</v>
      </c>
      <c r="E16" s="36" t="s">
        <v>193</v>
      </c>
    </row>
    <row r="18" spans="1:6">
      <c r="A18" s="74" t="s">
        <v>149</v>
      </c>
      <c r="B18" s="74"/>
      <c r="C18" s="74"/>
      <c r="D18" s="74"/>
      <c r="E18" s="74"/>
      <c r="F18" s="24"/>
    </row>
    <row r="19" spans="1:6">
      <c r="A19" s="79" t="s">
        <v>148</v>
      </c>
      <c r="B19" s="79"/>
      <c r="C19" s="79"/>
      <c r="D19" s="79"/>
      <c r="E19" s="79"/>
    </row>
    <row r="20" spans="1:6">
      <c r="A20" s="37" t="s">
        <v>147</v>
      </c>
      <c r="B20" s="33" t="s">
        <v>146</v>
      </c>
      <c r="C20" s="80" t="s">
        <v>145</v>
      </c>
      <c r="D20" s="81"/>
      <c r="E20" s="37" t="s">
        <v>115</v>
      </c>
    </row>
    <row r="21" spans="1:6">
      <c r="A21" s="32" t="s">
        <v>144</v>
      </c>
      <c r="B21" s="31" t="s">
        <v>143</v>
      </c>
      <c r="C21" s="82" t="s">
        <v>142</v>
      </c>
      <c r="D21" s="83"/>
      <c r="E21" s="32" t="s">
        <v>105</v>
      </c>
    </row>
    <row r="22" spans="1:6">
      <c r="A22" s="30" t="s">
        <v>141</v>
      </c>
      <c r="B22" s="29" t="s">
        <v>140</v>
      </c>
      <c r="C22" s="84" t="s">
        <v>139</v>
      </c>
      <c r="D22" s="85"/>
      <c r="E22" s="30" t="s">
        <v>110</v>
      </c>
      <c r="F22" s="38"/>
    </row>
    <row r="23" spans="1:6">
      <c r="A23" s="32" t="s">
        <v>138</v>
      </c>
      <c r="B23" s="31" t="s">
        <v>137</v>
      </c>
      <c r="C23" s="82" t="s">
        <v>136</v>
      </c>
      <c r="D23" s="83"/>
      <c r="E23" s="32" t="s">
        <v>135</v>
      </c>
      <c r="F23" s="38"/>
    </row>
    <row r="24" spans="1:6">
      <c r="F24" s="38"/>
    </row>
    <row r="25" spans="1:6">
      <c r="A25" s="27" t="s">
        <v>134</v>
      </c>
      <c r="F25" s="38"/>
    </row>
    <row r="26" spans="1:6">
      <c r="A26" s="78" t="s">
        <v>133</v>
      </c>
      <c r="B26" s="73"/>
      <c r="C26" s="38" t="s">
        <v>132</v>
      </c>
      <c r="D26" s="78" t="s">
        <v>131</v>
      </c>
      <c r="E26" s="78"/>
    </row>
    <row r="27" spans="1:6">
      <c r="A27" s="78" t="s">
        <v>130</v>
      </c>
      <c r="B27" s="73"/>
      <c r="C27" s="38" t="s">
        <v>129</v>
      </c>
      <c r="D27" s="78" t="s">
        <v>128</v>
      </c>
      <c r="E27" s="78"/>
      <c r="F27" s="24"/>
    </row>
    <row r="28" spans="1:6">
      <c r="A28" s="78" t="s">
        <v>127</v>
      </c>
      <c r="B28" s="73"/>
      <c r="C28" s="38" t="s">
        <v>126</v>
      </c>
      <c r="D28" s="78" t="s">
        <v>125</v>
      </c>
      <c r="E28" s="78"/>
    </row>
    <row r="29" spans="1:6">
      <c r="A29" s="78" t="s">
        <v>124</v>
      </c>
      <c r="B29" s="73"/>
      <c r="C29" s="38" t="s">
        <v>123</v>
      </c>
      <c r="D29" s="78" t="s">
        <v>122</v>
      </c>
      <c r="E29" s="78"/>
    </row>
    <row r="31" spans="1:6">
      <c r="A31" s="74" t="s">
        <v>121</v>
      </c>
      <c r="B31" s="74"/>
      <c r="C31" s="74"/>
      <c r="D31" s="74"/>
      <c r="E31" s="74"/>
      <c r="F31" s="24"/>
    </row>
    <row r="32" spans="1:6">
      <c r="A32" s="77" t="s">
        <v>120</v>
      </c>
      <c r="B32" s="73"/>
      <c r="C32" s="73"/>
      <c r="D32" s="73"/>
      <c r="E32" s="73"/>
      <c r="F32" s="24"/>
    </row>
    <row r="33" spans="1:5" ht="25.5">
      <c r="A33" s="37" t="s">
        <v>119</v>
      </c>
      <c r="B33" s="33" t="s">
        <v>118</v>
      </c>
      <c r="C33" s="37" t="s">
        <v>117</v>
      </c>
      <c r="D33" s="37" t="s">
        <v>116</v>
      </c>
      <c r="E33" s="37" t="s">
        <v>115</v>
      </c>
    </row>
    <row r="34" spans="1:5" ht="25.5">
      <c r="A34" s="32" t="s">
        <v>114</v>
      </c>
      <c r="B34" s="31" t="s">
        <v>113</v>
      </c>
      <c r="C34" s="32" t="s">
        <v>112</v>
      </c>
      <c r="D34" s="32" t="s">
        <v>111</v>
      </c>
      <c r="E34" s="32" t="s">
        <v>110</v>
      </c>
    </row>
    <row r="35" spans="1:5" ht="25.5">
      <c r="A35" s="30" t="s">
        <v>109</v>
      </c>
      <c r="B35" s="29" t="s">
        <v>108</v>
      </c>
      <c r="C35" s="30" t="s">
        <v>107</v>
      </c>
      <c r="D35" s="30" t="s">
        <v>106</v>
      </c>
      <c r="E35" s="30" t="s">
        <v>105</v>
      </c>
    </row>
  </sheetData>
  <autoFilter ref="A6:E11" xr:uid="{00000000-0009-0000-0000-000006000000}"/>
  <mergeCells count="21">
    <mergeCell ref="A1:E2"/>
    <mergeCell ref="A28:B28"/>
    <mergeCell ref="D27:E27"/>
    <mergeCell ref="D28:E28"/>
    <mergeCell ref="A4:E4"/>
    <mergeCell ref="A13:E13"/>
    <mergeCell ref="A31:E31"/>
    <mergeCell ref="A27:B27"/>
    <mergeCell ref="A26:B26"/>
    <mergeCell ref="A14:E14"/>
    <mergeCell ref="C20:D20"/>
    <mergeCell ref="C21:D21"/>
    <mergeCell ref="C22:D22"/>
    <mergeCell ref="C23:D23"/>
    <mergeCell ref="D29:E29"/>
    <mergeCell ref="A29:B29"/>
    <mergeCell ref="A32:E32"/>
    <mergeCell ref="D26:E26"/>
    <mergeCell ref="A5:E5"/>
    <mergeCell ref="A19:E19"/>
    <mergeCell ref="A18:E18"/>
  </mergeCells>
  <dataValidations count="4">
    <dataValidation type="list" allowBlank="1" sqref="E34:E35 E21:E23" xr:uid="{00000000-0002-0000-0600-000002000000}">
      <formula1>"ثبت شده,در حال بررسی,تایید شده,اجرا شده,رد شده"</formula1>
    </dataValidation>
    <dataValidation type="list" allowBlank="1" sqref="A21:A23" xr:uid="{00000000-0002-0000-0600-000001000000}">
      <formula1>"کم,متوسط,زیاد"</formula1>
    </dataValidation>
    <dataValidation type="list" allowBlank="1" sqref="B7:B11" xr:uid="{00000000-0002-0000-0600-000000000000}">
      <formula1>"مثبت,منفی,قابل توجه,پیشنهاد بهبود,تشویق"</formula1>
    </dataValidation>
    <dataValidation type="list" allowBlank="1" sqref="B16" xr:uid="{3E0BCBE0-7355-4FDE-82A3-F6AEC762EC01}">
      <formula1>"-,متوسط,زیاد,بحرانی"</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5"/>
  <sheetViews>
    <sheetView rightToLeft="1" workbookViewId="0">
      <selection activeCell="B28" sqref="B28"/>
    </sheetView>
  </sheetViews>
  <sheetFormatPr defaultRowHeight="15"/>
  <cols>
    <col min="1" max="1" width="5.42578125" bestFit="1" customWidth="1"/>
    <col min="2" max="2" width="30.28515625" bestFit="1" customWidth="1"/>
    <col min="3" max="3" width="11.140625" bestFit="1" customWidth="1"/>
    <col min="4" max="4" width="8.5703125" bestFit="1" customWidth="1"/>
    <col min="5" max="5" width="11" bestFit="1" customWidth="1"/>
    <col min="6" max="6" width="18.140625" customWidth="1"/>
  </cols>
  <sheetData>
    <row r="1" spans="1:6">
      <c r="A1" s="63" t="s">
        <v>29</v>
      </c>
      <c r="B1" s="62"/>
      <c r="C1" s="62"/>
      <c r="D1" s="62"/>
      <c r="E1" s="62"/>
      <c r="F1" s="62"/>
    </row>
    <row r="2" spans="1:6">
      <c r="A2" s="62"/>
      <c r="B2" s="62"/>
      <c r="C2" s="62"/>
      <c r="D2" s="62"/>
      <c r="E2" s="62"/>
      <c r="F2" s="62"/>
    </row>
    <row r="4" spans="1:6">
      <c r="A4" s="4" t="s">
        <v>30</v>
      </c>
      <c r="B4" s="4" t="s">
        <v>31</v>
      </c>
      <c r="C4" s="4" t="s">
        <v>32</v>
      </c>
      <c r="D4" s="4" t="s">
        <v>33</v>
      </c>
      <c r="E4" s="4" t="s">
        <v>34</v>
      </c>
      <c r="F4" s="4" t="s">
        <v>35</v>
      </c>
    </row>
    <row r="5" spans="1:6">
      <c r="A5" s="5">
        <v>1</v>
      </c>
      <c r="B5" s="3" t="s">
        <v>36</v>
      </c>
      <c r="C5" s="5" t="s">
        <v>37</v>
      </c>
      <c r="D5" s="6">
        <v>0.2</v>
      </c>
      <c r="E5" s="5">
        <v>5</v>
      </c>
      <c r="F5" s="7">
        <f t="shared" ref="F5:F11" si="0">D5*E5</f>
        <v>1</v>
      </c>
    </row>
    <row r="6" spans="1:6">
      <c r="A6" s="8">
        <v>2</v>
      </c>
      <c r="B6" s="9" t="s">
        <v>38</v>
      </c>
      <c r="C6" s="8" t="s">
        <v>37</v>
      </c>
      <c r="D6" s="10">
        <v>0.15</v>
      </c>
      <c r="E6" s="8">
        <v>4</v>
      </c>
      <c r="F6" s="11">
        <f t="shared" si="0"/>
        <v>0.6</v>
      </c>
    </row>
    <row r="7" spans="1:6">
      <c r="A7" s="5">
        <v>3</v>
      </c>
      <c r="B7" s="3" t="s">
        <v>39</v>
      </c>
      <c r="C7" s="5" t="s">
        <v>37</v>
      </c>
      <c r="D7" s="6">
        <v>0.15</v>
      </c>
      <c r="E7" s="5">
        <v>4</v>
      </c>
      <c r="F7" s="7">
        <f t="shared" si="0"/>
        <v>0.6</v>
      </c>
    </row>
    <row r="8" spans="1:6">
      <c r="A8" s="8">
        <v>4</v>
      </c>
      <c r="B8" s="9" t="s">
        <v>40</v>
      </c>
      <c r="C8" s="8" t="s">
        <v>37</v>
      </c>
      <c r="D8" s="10">
        <v>0.1</v>
      </c>
      <c r="E8" s="8">
        <v>5</v>
      </c>
      <c r="F8" s="11">
        <f t="shared" si="0"/>
        <v>0.5</v>
      </c>
    </row>
    <row r="9" spans="1:6">
      <c r="A9" s="5">
        <v>5</v>
      </c>
      <c r="B9" s="3" t="s">
        <v>41</v>
      </c>
      <c r="C9" s="5" t="s">
        <v>42</v>
      </c>
      <c r="D9" s="6">
        <v>0.15</v>
      </c>
      <c r="E9" s="5">
        <v>3</v>
      </c>
      <c r="F9" s="7">
        <f t="shared" si="0"/>
        <v>0.44999999999999996</v>
      </c>
    </row>
    <row r="10" spans="1:6">
      <c r="A10" s="8">
        <v>6</v>
      </c>
      <c r="B10" s="9" t="s">
        <v>43</v>
      </c>
      <c r="C10" s="8" t="s">
        <v>42</v>
      </c>
      <c r="D10" s="10">
        <v>0.1</v>
      </c>
      <c r="E10" s="8">
        <v>4</v>
      </c>
      <c r="F10" s="11">
        <f t="shared" si="0"/>
        <v>0.4</v>
      </c>
    </row>
    <row r="11" spans="1:6">
      <c r="A11" s="5">
        <v>7</v>
      </c>
      <c r="B11" s="3" t="s">
        <v>44</v>
      </c>
      <c r="C11" s="5" t="s">
        <v>42</v>
      </c>
      <c r="D11" s="6">
        <v>0.15</v>
      </c>
      <c r="E11" s="5">
        <v>4</v>
      </c>
      <c r="F11" s="7">
        <f t="shared" si="0"/>
        <v>0.6</v>
      </c>
    </row>
    <row r="12" spans="1:6">
      <c r="A12" s="12"/>
      <c r="B12" s="13" t="s">
        <v>45</v>
      </c>
      <c r="C12" s="12"/>
      <c r="D12" s="14">
        <f>SUM(D5:D11)</f>
        <v>1</v>
      </c>
      <c r="E12" s="12"/>
      <c r="F12" s="12"/>
    </row>
    <row r="13" spans="1:6">
      <c r="A13" s="12"/>
      <c r="B13" s="13" t="s">
        <v>46</v>
      </c>
      <c r="C13" s="12"/>
      <c r="D13" s="12"/>
      <c r="E13" s="12"/>
      <c r="F13" s="15">
        <f>SUM(F5:F11)/D12</f>
        <v>4.1500000000000004</v>
      </c>
    </row>
    <row r="16" spans="1:6" ht="15.75">
      <c r="A16" s="89" t="s">
        <v>47</v>
      </c>
      <c r="B16" s="62"/>
      <c r="C16" s="62"/>
      <c r="D16" s="62"/>
      <c r="E16" s="62"/>
      <c r="F16" s="62"/>
    </row>
    <row r="17" spans="1:6">
      <c r="A17" s="88" t="s">
        <v>48</v>
      </c>
      <c r="B17" s="62"/>
      <c r="C17" s="62"/>
      <c r="D17" s="88" t="s">
        <v>49</v>
      </c>
      <c r="E17" s="62"/>
      <c r="F17" s="62"/>
    </row>
    <row r="18" spans="1:6">
      <c r="A18" s="87" t="s">
        <v>50</v>
      </c>
      <c r="B18" s="62"/>
      <c r="C18" s="62"/>
      <c r="D18" s="87" t="s">
        <v>51</v>
      </c>
      <c r="E18" s="62"/>
      <c r="F18" s="62"/>
    </row>
    <row r="19" spans="1:6">
      <c r="A19" s="87" t="s">
        <v>52</v>
      </c>
      <c r="B19" s="62"/>
      <c r="C19" s="62"/>
      <c r="D19" s="87" t="s">
        <v>53</v>
      </c>
      <c r="E19" s="62"/>
      <c r="F19" s="62"/>
    </row>
    <row r="20" spans="1:6">
      <c r="A20" s="87" t="s">
        <v>54</v>
      </c>
      <c r="B20" s="62"/>
      <c r="C20" s="62"/>
      <c r="D20" s="87" t="s">
        <v>55</v>
      </c>
      <c r="E20" s="62"/>
      <c r="F20" s="62"/>
    </row>
    <row r="21" spans="1:6">
      <c r="A21" s="87" t="s">
        <v>56</v>
      </c>
      <c r="B21" s="62"/>
      <c r="C21" s="62"/>
      <c r="D21" s="87" t="s">
        <v>57</v>
      </c>
      <c r="E21" s="62"/>
      <c r="F21" s="62"/>
    </row>
    <row r="22" spans="1:6">
      <c r="A22" s="87" t="s">
        <v>58</v>
      </c>
      <c r="B22" s="62"/>
      <c r="C22" s="62"/>
      <c r="D22" s="87" t="s">
        <v>59</v>
      </c>
      <c r="E22" s="62"/>
      <c r="F22" s="62"/>
    </row>
    <row r="23" spans="1:6">
      <c r="A23" s="87" t="s">
        <v>60</v>
      </c>
      <c r="B23" s="62"/>
      <c r="C23" s="62"/>
      <c r="D23" s="87" t="s">
        <v>61</v>
      </c>
      <c r="E23" s="62"/>
      <c r="F23" s="62"/>
    </row>
    <row r="24" spans="1:6">
      <c r="A24" s="87" t="s">
        <v>62</v>
      </c>
      <c r="B24" s="62"/>
      <c r="C24" s="62"/>
      <c r="D24" s="87" t="s">
        <v>63</v>
      </c>
      <c r="E24" s="62"/>
      <c r="F24" s="62"/>
    </row>
    <row r="25" spans="1:6">
      <c r="A25" s="87" t="s">
        <v>64</v>
      </c>
      <c r="B25" s="62"/>
      <c r="C25" s="62"/>
      <c r="D25" s="87" t="s">
        <v>65</v>
      </c>
      <c r="E25" s="62"/>
      <c r="F25" s="62"/>
    </row>
  </sheetData>
  <mergeCells count="20">
    <mergeCell ref="D25:F25"/>
    <mergeCell ref="A20:C20"/>
    <mergeCell ref="D24:F24"/>
    <mergeCell ref="A19:C19"/>
    <mergeCell ref="D23:F23"/>
    <mergeCell ref="D20:F20"/>
    <mergeCell ref="A24:C24"/>
    <mergeCell ref="D19:F19"/>
    <mergeCell ref="D22:F22"/>
    <mergeCell ref="D21:F21"/>
    <mergeCell ref="A25:C25"/>
    <mergeCell ref="A18:C18"/>
    <mergeCell ref="D17:F17"/>
    <mergeCell ref="A21:C21"/>
    <mergeCell ref="A23:C23"/>
    <mergeCell ref="A1:F2"/>
    <mergeCell ref="A22:C22"/>
    <mergeCell ref="A17:C17"/>
    <mergeCell ref="D18:F18"/>
    <mergeCell ref="A16:F16"/>
  </mergeCells>
  <dataValidations count="2">
    <dataValidation type="list" allowBlank="1" sqref="C5 C6 C7 C8 C9 C10 C11" xr:uid="{00000000-0002-0000-0200-000000000000}">
      <formula1>"نتیجه,تلاش"</formula1>
    </dataValidation>
    <dataValidation type="whole" allowBlank="1" errorTitle="خطای ورود داده" error="امتیاز باید عددی بین ۱ تا ۵ باشد." sqref="D5 D6 D7 D8 D9 D10 E5 E6 E7 E8 E9 E10 E11" xr:uid="{00000000-0002-0000-0200-000001000000}">
      <formula1>1</formula1>
      <formula2>5</formula2>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2"/>
  <sheetViews>
    <sheetView rightToLeft="1" workbookViewId="0">
      <selection activeCell="B13" sqref="B13"/>
    </sheetView>
  </sheetViews>
  <sheetFormatPr defaultRowHeight="15"/>
  <cols>
    <col min="1" max="1" width="5.42578125" bestFit="1" customWidth="1"/>
    <col min="2" max="2" width="40" customWidth="1"/>
    <col min="3" max="3" width="8.5703125" bestFit="1" customWidth="1"/>
    <col min="4" max="4" width="11" bestFit="1" customWidth="1"/>
    <col min="5" max="5" width="10.5703125" bestFit="1" customWidth="1"/>
  </cols>
  <sheetData>
    <row r="1" spans="1:5">
      <c r="A1" s="63" t="s">
        <v>66</v>
      </c>
      <c r="B1" s="62"/>
      <c r="C1" s="62"/>
      <c r="D1" s="62"/>
      <c r="E1" s="62"/>
    </row>
    <row r="2" spans="1:5">
      <c r="A2" s="62"/>
      <c r="B2" s="62"/>
      <c r="C2" s="62"/>
      <c r="D2" s="62"/>
      <c r="E2" s="62"/>
    </row>
    <row r="4" spans="1:5">
      <c r="A4" s="4" t="s">
        <v>30</v>
      </c>
      <c r="B4" s="4" t="s">
        <v>67</v>
      </c>
      <c r="C4" s="4" t="s">
        <v>33</v>
      </c>
      <c r="D4" s="4" t="s">
        <v>34</v>
      </c>
      <c r="E4" s="4" t="s">
        <v>35</v>
      </c>
    </row>
    <row r="5" spans="1:5">
      <c r="A5" s="5">
        <v>1</v>
      </c>
      <c r="B5" s="3" t="s">
        <v>68</v>
      </c>
      <c r="C5" s="6">
        <v>0.2</v>
      </c>
      <c r="D5" s="5">
        <v>5</v>
      </c>
      <c r="E5" s="7">
        <f t="shared" ref="E5:E10" si="0">C5*D5</f>
        <v>1</v>
      </c>
    </row>
    <row r="6" spans="1:5">
      <c r="A6" s="8">
        <v>2</v>
      </c>
      <c r="B6" s="9" t="s">
        <v>213</v>
      </c>
      <c r="C6" s="10">
        <v>0.2</v>
      </c>
      <c r="D6" s="8">
        <v>5</v>
      </c>
      <c r="E6" s="11">
        <f t="shared" si="0"/>
        <v>1</v>
      </c>
    </row>
    <row r="7" spans="1:5">
      <c r="A7" s="5">
        <v>3</v>
      </c>
      <c r="B7" s="3" t="s">
        <v>212</v>
      </c>
      <c r="C7" s="6">
        <v>0.2</v>
      </c>
      <c r="D7" s="5">
        <v>5</v>
      </c>
      <c r="E7" s="7">
        <f t="shared" si="0"/>
        <v>1</v>
      </c>
    </row>
    <row r="8" spans="1:5">
      <c r="A8" s="8">
        <v>4</v>
      </c>
      <c r="B8" s="9" t="s">
        <v>69</v>
      </c>
      <c r="C8" s="10">
        <v>0.1</v>
      </c>
      <c r="D8" s="8">
        <v>4</v>
      </c>
      <c r="E8" s="11">
        <f t="shared" si="0"/>
        <v>0.4</v>
      </c>
    </row>
    <row r="9" spans="1:5">
      <c r="A9" s="5">
        <v>5</v>
      </c>
      <c r="B9" s="3" t="s">
        <v>70</v>
      </c>
      <c r="C9" s="6">
        <v>0.1</v>
      </c>
      <c r="D9" s="5">
        <v>4</v>
      </c>
      <c r="E9" s="7">
        <f t="shared" si="0"/>
        <v>0.4</v>
      </c>
    </row>
    <row r="10" spans="1:5">
      <c r="A10" s="8">
        <v>6</v>
      </c>
      <c r="B10" s="9" t="s">
        <v>211</v>
      </c>
      <c r="C10" s="10">
        <v>0.2</v>
      </c>
      <c r="D10" s="8">
        <v>3</v>
      </c>
      <c r="E10" s="11">
        <f t="shared" si="0"/>
        <v>0.60000000000000009</v>
      </c>
    </row>
    <row r="11" spans="1:5">
      <c r="A11" s="12"/>
      <c r="B11" s="13" t="s">
        <v>45</v>
      </c>
      <c r="C11" s="14">
        <f>SUM(C5:C10)</f>
        <v>1</v>
      </c>
      <c r="D11" s="12"/>
      <c r="E11" s="12"/>
    </row>
    <row r="12" spans="1:5">
      <c r="A12" s="12"/>
      <c r="B12" s="13" t="s">
        <v>71</v>
      </c>
      <c r="C12" s="12"/>
      <c r="D12" s="12"/>
      <c r="E12" s="15">
        <f>SUM(E5:E10)/C11</f>
        <v>4.4000000000000004</v>
      </c>
    </row>
  </sheetData>
  <mergeCells count="1">
    <mergeCell ref="A1:E2"/>
  </mergeCells>
  <dataValidations count="1">
    <dataValidation type="whole" allowBlank="1" errorTitle="خطای ورود داده" error="امتیاز باید عددی بین ۱ تا ۵ باشد." sqref="D5:D10 E5:E11" xr:uid="{00000000-0002-0000-0300-000000000000}">
      <formula1>1</formula1>
      <formula2>5</formula2>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6"/>
  <sheetViews>
    <sheetView rightToLeft="1" topLeftCell="A4" workbookViewId="0">
      <selection activeCell="F19" sqref="F19"/>
    </sheetView>
  </sheetViews>
  <sheetFormatPr defaultRowHeight="15"/>
  <cols>
    <col min="1" max="1" width="12.42578125" style="21" customWidth="1"/>
    <col min="2" max="2" width="30" style="21" bestFit="1" customWidth="1"/>
    <col min="3" max="3" width="43.140625" style="21" bestFit="1" customWidth="1"/>
    <col min="4" max="4" width="18.42578125" style="21" bestFit="1" customWidth="1"/>
    <col min="5" max="5" width="18.85546875" style="21" bestFit="1" customWidth="1"/>
    <col min="6" max="6" width="15" style="21" customWidth="1"/>
    <col min="7" max="16384" width="9.140625" style="21"/>
  </cols>
  <sheetData>
    <row r="1" spans="1:6" ht="15" customHeight="1">
      <c r="A1" s="86" t="s">
        <v>72</v>
      </c>
      <c r="B1" s="86"/>
      <c r="C1" s="86"/>
      <c r="D1" s="86"/>
      <c r="E1" s="86"/>
      <c r="F1" s="86"/>
    </row>
    <row r="2" spans="1:6">
      <c r="A2" s="86"/>
      <c r="B2" s="86"/>
      <c r="C2" s="86"/>
      <c r="D2" s="86"/>
      <c r="E2" s="86"/>
      <c r="F2" s="86"/>
    </row>
    <row r="4" spans="1:6" ht="15" customHeight="1">
      <c r="A4" s="90" t="s">
        <v>196</v>
      </c>
      <c r="B4" s="90"/>
    </row>
    <row r="5" spans="1:6">
      <c r="A5" s="91" t="s">
        <v>73</v>
      </c>
      <c r="B5" s="91"/>
      <c r="C5" s="42" t="s">
        <v>74</v>
      </c>
    </row>
    <row r="6" spans="1:6">
      <c r="A6" s="92" t="s">
        <v>75</v>
      </c>
      <c r="B6" s="93"/>
      <c r="C6" s="43">
        <v>0.7</v>
      </c>
    </row>
    <row r="7" spans="1:6">
      <c r="A7" s="92" t="s">
        <v>76</v>
      </c>
      <c r="B7" s="93"/>
      <c r="C7" s="43">
        <v>0.3</v>
      </c>
    </row>
    <row r="8" spans="1:6">
      <c r="A8" s="92" t="s">
        <v>77</v>
      </c>
      <c r="B8" s="93"/>
      <c r="C8" s="44">
        <f>SUM(C6:C7)</f>
        <v>1</v>
      </c>
    </row>
    <row r="11" spans="1:6" ht="15" customHeight="1">
      <c r="A11" s="90" t="s">
        <v>197</v>
      </c>
      <c r="B11" s="90"/>
    </row>
    <row r="12" spans="1:6">
      <c r="A12" s="45"/>
      <c r="B12" s="45" t="s">
        <v>78</v>
      </c>
      <c r="C12" s="45" t="s">
        <v>79</v>
      </c>
      <c r="D12" s="45" t="s">
        <v>80</v>
      </c>
      <c r="E12" s="45" t="s">
        <v>81</v>
      </c>
    </row>
    <row r="13" spans="1:6">
      <c r="A13" s="94" t="s">
        <v>82</v>
      </c>
      <c r="B13" s="95"/>
      <c r="C13" s="31">
        <f>'ارزیابی عملکرد'!F13</f>
        <v>4.1500000000000004</v>
      </c>
      <c r="D13" s="46">
        <f>C13/5</f>
        <v>0.83000000000000007</v>
      </c>
      <c r="E13" s="46">
        <f>D13*C6</f>
        <v>0.58099999999999996</v>
      </c>
    </row>
    <row r="14" spans="1:6">
      <c r="A14" s="94" t="s">
        <v>83</v>
      </c>
      <c r="B14" s="95"/>
      <c r="C14" s="31">
        <f>'ارزیابی رفتار حرفه‌ای'!E12</f>
        <v>4.4000000000000004</v>
      </c>
      <c r="D14" s="46">
        <f>C14/5</f>
        <v>0.88000000000000012</v>
      </c>
      <c r="E14" s="46">
        <f>D14*C7</f>
        <v>0.26400000000000001</v>
      </c>
    </row>
    <row r="15" spans="1:6">
      <c r="A15" s="96" t="s">
        <v>194</v>
      </c>
      <c r="B15" s="97"/>
      <c r="C15" s="57" t="str">
        <f>'رویدادها و بازخوردها'!B16</f>
        <v>متوسط</v>
      </c>
      <c r="D15" s="58" t="str">
        <f>'رویدادها و بازخوردها'!D16</f>
        <v>کسر 5% امتیاز</v>
      </c>
      <c r="E15" s="58" cm="1">
        <f t="array" ref="E15">_xlfn.IFS(C15="-",0%,C15="متوسط",-5%,C15="زیاد",-10%,C15="بحرانی",-(SUM(E13:E14)))</f>
        <v>-0.05</v>
      </c>
    </row>
    <row r="16" spans="1:6">
      <c r="A16" s="98" t="s">
        <v>84</v>
      </c>
      <c r="B16" s="99"/>
      <c r="C16" s="47"/>
      <c r="D16" s="48"/>
      <c r="E16" s="60">
        <f>SUM(E13:E15)</f>
        <v>0.79499999999999993</v>
      </c>
    </row>
    <row r="18" spans="1:4">
      <c r="A18" s="100" t="s">
        <v>198</v>
      </c>
      <c r="B18" s="100"/>
      <c r="C18" s="100"/>
      <c r="D18" s="100"/>
    </row>
    <row r="19" spans="1:4">
      <c r="A19" s="52" t="s">
        <v>206</v>
      </c>
      <c r="B19" s="52" t="s">
        <v>207</v>
      </c>
      <c r="C19" s="52" t="s">
        <v>199</v>
      </c>
      <c r="D19" s="52" t="s">
        <v>200</v>
      </c>
    </row>
    <row r="20" spans="1:4">
      <c r="A20" s="59">
        <v>0</v>
      </c>
      <c r="B20" s="59">
        <v>0.5</v>
      </c>
      <c r="C20" s="55" t="s">
        <v>201</v>
      </c>
      <c r="D20" s="56">
        <v>0</v>
      </c>
    </row>
    <row r="21" spans="1:4">
      <c r="A21" s="59">
        <v>0.5</v>
      </c>
      <c r="B21" s="59">
        <v>0.7</v>
      </c>
      <c r="C21" s="55" t="s">
        <v>202</v>
      </c>
      <c r="D21" s="56">
        <v>0</v>
      </c>
    </row>
    <row r="22" spans="1:4">
      <c r="A22" s="59">
        <v>0.7</v>
      </c>
      <c r="B22" s="59">
        <v>0.8</v>
      </c>
      <c r="C22" s="55" t="s">
        <v>203</v>
      </c>
      <c r="D22" s="56">
        <v>0.5</v>
      </c>
    </row>
    <row r="23" spans="1:4">
      <c r="A23" s="59">
        <v>0.8</v>
      </c>
      <c r="B23" s="59">
        <v>0.9</v>
      </c>
      <c r="C23" s="55" t="s">
        <v>204</v>
      </c>
      <c r="D23" s="56">
        <v>0.75</v>
      </c>
    </row>
    <row r="24" spans="1:4">
      <c r="A24" s="59">
        <v>0.9</v>
      </c>
      <c r="B24" s="59">
        <v>1</v>
      </c>
      <c r="C24" s="55" t="s">
        <v>205</v>
      </c>
      <c r="D24" s="56">
        <v>1</v>
      </c>
    </row>
    <row r="25" spans="1:4">
      <c r="A25" s="53"/>
      <c r="B25" s="53"/>
      <c r="C25" s="54"/>
      <c r="D25" s="53"/>
    </row>
    <row r="26" spans="1:4">
      <c r="A26" s="49"/>
      <c r="B26" s="49" t="s">
        <v>85</v>
      </c>
      <c r="C26" s="50" t="str" cm="1">
        <f t="array" ref="C26">_xlfn.IFS(AND((E16&gt;=A20), (E16&lt;=B20)),C20,AND((E16&gt;A21), (E16&lt;=B21)),C21,AND((E16&gt;A22), (E16&lt;=B22)),C22,AND((E16&gt;A23), (E16&lt;=B23)),C23,E16&gt;=A24,C24)</f>
        <v>قابل قبول (Acceptable)</v>
      </c>
    </row>
  </sheetData>
  <mergeCells count="12">
    <mergeCell ref="A18:D18"/>
    <mergeCell ref="A11:B11"/>
    <mergeCell ref="A8:B8"/>
    <mergeCell ref="A13:B13"/>
    <mergeCell ref="A14:B14"/>
    <mergeCell ref="A15:B15"/>
    <mergeCell ref="A16:B16"/>
    <mergeCell ref="A1:F2"/>
    <mergeCell ref="A4:B4"/>
    <mergeCell ref="A5:B5"/>
    <mergeCell ref="A6:B6"/>
    <mergeCell ref="A7:B7"/>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6"/>
  <sheetViews>
    <sheetView rightToLeft="1" workbookViewId="0">
      <selection activeCell="A22" sqref="A22"/>
    </sheetView>
  </sheetViews>
  <sheetFormatPr defaultRowHeight="15"/>
  <cols>
    <col min="1" max="1" width="35" bestFit="1" customWidth="1"/>
    <col min="2" max="2" width="16.7109375" bestFit="1" customWidth="1"/>
    <col min="3" max="3" width="15" customWidth="1"/>
    <col min="4" max="4" width="19.42578125" bestFit="1" customWidth="1"/>
    <col min="5" max="5" width="6.28515625" bestFit="1" customWidth="1"/>
    <col min="6" max="6" width="19.85546875" customWidth="1"/>
  </cols>
  <sheetData>
    <row r="1" spans="1:6">
      <c r="A1" s="63" t="s">
        <v>86</v>
      </c>
      <c r="B1" s="62"/>
      <c r="C1" s="62"/>
      <c r="D1" s="62"/>
      <c r="E1" s="62"/>
      <c r="F1" s="62"/>
    </row>
    <row r="2" spans="1:6">
      <c r="A2" s="62"/>
      <c r="B2" s="62"/>
      <c r="C2" s="62"/>
      <c r="D2" s="62"/>
      <c r="E2" s="62"/>
      <c r="F2" s="62"/>
    </row>
    <row r="4" spans="1:6">
      <c r="A4" s="2" t="s">
        <v>87</v>
      </c>
      <c r="B4" s="16" t="str">
        <f>'پروفایل و توافق عملکرد'!B4</f>
        <v>محمد حسینی</v>
      </c>
      <c r="D4" s="2" t="s">
        <v>23</v>
      </c>
      <c r="E4" s="103" t="str">
        <f>'پروفایل و توافق عملکرد'!E6</f>
        <v>فصل اول 1405 (یا فروردین 1405)</v>
      </c>
      <c r="F4" s="104"/>
    </row>
    <row r="5" spans="1:6">
      <c r="A5" s="2" t="s">
        <v>88</v>
      </c>
      <c r="B5" s="17">
        <f>'موتور امتیازدهی و خلاصه'!D13</f>
        <v>0.83000000000000007</v>
      </c>
      <c r="D5" s="2" t="s">
        <v>89</v>
      </c>
      <c r="E5" s="105">
        <f>'موتور امتیازدهی و خلاصه'!D14</f>
        <v>0.88000000000000012</v>
      </c>
      <c r="F5" s="106"/>
    </row>
    <row r="6" spans="1:6">
      <c r="A6" s="2" t="s">
        <v>90</v>
      </c>
      <c r="B6" s="18">
        <f>'موتور امتیازدهی و خلاصه'!E16</f>
        <v>0.79499999999999993</v>
      </c>
      <c r="D6" s="2" t="s">
        <v>85</v>
      </c>
      <c r="E6" s="103" t="str">
        <f>'موتور امتیازدهی و خلاصه'!C26</f>
        <v>قابل قبول (Acceptable)</v>
      </c>
      <c r="F6" s="104"/>
    </row>
    <row r="8" spans="1:6" ht="15.75">
      <c r="A8" s="1" t="s">
        <v>91</v>
      </c>
    </row>
    <row r="9" spans="1:6">
      <c r="A9" t="s">
        <v>92</v>
      </c>
      <c r="B9" s="19">
        <f>'پروفایل و توافق عملکرد'!E7</f>
        <v>5000000</v>
      </c>
    </row>
    <row r="10" spans="1:6">
      <c r="A10" t="s">
        <v>93</v>
      </c>
      <c r="B10" s="20">
        <f>IF(B6&lt;0.6,0,IF(B6&lt;0.75,0.5,IF(B6&lt;0.9,0.75,1)))</f>
        <v>0.75</v>
      </c>
    </row>
    <row r="11" spans="1:6" ht="19.5">
      <c r="A11" t="s">
        <v>94</v>
      </c>
      <c r="B11" s="28">
        <f>B9*B10</f>
        <v>3750000</v>
      </c>
    </row>
    <row r="13" spans="1:6" ht="15.75">
      <c r="A13" s="1" t="s">
        <v>95</v>
      </c>
    </row>
    <row r="14" spans="1:6">
      <c r="A14" s="2" t="s">
        <v>96</v>
      </c>
      <c r="B14" s="101" t="s">
        <v>97</v>
      </c>
      <c r="C14" s="102"/>
      <c r="D14" s="102"/>
      <c r="E14" s="102"/>
      <c r="F14" s="102"/>
    </row>
    <row r="15" spans="1:6">
      <c r="A15" s="2" t="s">
        <v>98</v>
      </c>
      <c r="B15" s="101" t="s">
        <v>99</v>
      </c>
      <c r="C15" s="102"/>
      <c r="D15" s="102"/>
      <c r="E15" s="102"/>
      <c r="F15" s="102"/>
    </row>
    <row r="16" spans="1:6">
      <c r="A16" s="2" t="s">
        <v>100</v>
      </c>
      <c r="B16" s="101" t="s">
        <v>101</v>
      </c>
      <c r="C16" s="102"/>
      <c r="D16" s="102"/>
      <c r="E16" s="102"/>
      <c r="F16" s="102"/>
    </row>
  </sheetData>
  <mergeCells count="7">
    <mergeCell ref="B16:F16"/>
    <mergeCell ref="B15:F15"/>
    <mergeCell ref="A1:F2"/>
    <mergeCell ref="B14:F14"/>
    <mergeCell ref="E4:F4"/>
    <mergeCell ref="E6:F6"/>
    <mergeCell ref="E5:F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راهنما و توضیحات </vt:lpstr>
      <vt:lpstr>پروفایل و توافق عملکرد</vt:lpstr>
      <vt:lpstr>رویدادها و بازخوردها</vt:lpstr>
      <vt:lpstr>ارزیابی عملکرد</vt:lpstr>
      <vt:lpstr>ارزیابی رفتار حرفه‌ای</vt:lpstr>
      <vt:lpstr>موتور امتیازدهی و خلاصه</vt:lpstr>
      <vt:lpstr>خروجی و نتایج</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Ali Ghabeli</cp:lastModifiedBy>
  <cp:lastPrinted>2026-06-19T15:17:05Z</cp:lastPrinted>
  <dcterms:created xsi:type="dcterms:W3CDTF">2026-06-19T15:04:54Z</dcterms:created>
  <dcterms:modified xsi:type="dcterms:W3CDTF">2026-06-20T10:23:13Z</dcterms:modified>
</cp:coreProperties>
</file>